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io\Documents\Documentos\XP\Brazil Bull Case\"/>
    </mc:Choice>
  </mc:AlternateContent>
  <xr:revisionPtr revIDLastSave="0" documentId="13_ncr:1_{ED54E57A-9596-43E3-9B4B-8D00A00B7F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CF Commodities" sheetId="1" r:id="rId1"/>
    <sheet name="Box Consensus" sheetId="2" r:id="rId2"/>
    <sheet name="Analyst Models" sheetId="3" r:id="rId3"/>
  </sheets>
  <definedNames>
    <definedName name="g_">'DCF Commodities'!$F$18</definedName>
    <definedName name="NExp">'DCF Commodities'!$F$19</definedName>
    <definedName name="PETRFX">'Box Consensus'!$C$5</definedName>
    <definedName name="TVx">'DCF Commodities'!$F$20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C26" i="1" s="1"/>
  <c r="C35" i="1"/>
  <c r="T42" i="2" l="1"/>
  <c r="K42" i="2"/>
  <c r="H42" i="2"/>
  <c r="C42" i="2"/>
  <c r="W41" i="2"/>
  <c r="V41" i="2"/>
  <c r="U41" i="2"/>
  <c r="S41" i="2"/>
  <c r="R41" i="2"/>
  <c r="P41" i="2"/>
  <c r="I41" i="2"/>
  <c r="G41" i="2"/>
  <c r="F41" i="2"/>
  <c r="C41" i="2"/>
  <c r="M40" i="2"/>
  <c r="C40" i="2"/>
  <c r="C39" i="2"/>
  <c r="T38" i="2"/>
  <c r="S38" i="2"/>
  <c r="H38" i="2"/>
  <c r="G38" i="2"/>
  <c r="F38" i="2"/>
  <c r="C38" i="2"/>
  <c r="W37" i="2"/>
  <c r="V37" i="2"/>
  <c r="S37" i="2"/>
  <c r="C37" i="2"/>
  <c r="C36" i="2"/>
  <c r="Q35" i="2"/>
  <c r="P35" i="2"/>
  <c r="O35" i="2"/>
  <c r="M35" i="2"/>
  <c r="C35" i="2"/>
  <c r="P34" i="2"/>
  <c r="L34" i="2"/>
  <c r="K34" i="2"/>
  <c r="C34" i="2"/>
  <c r="L33" i="2"/>
  <c r="K33" i="2"/>
  <c r="C33" i="2"/>
  <c r="C32" i="2"/>
  <c r="C31" i="2"/>
  <c r="W30" i="2"/>
  <c r="T30" i="2"/>
  <c r="L30" i="2"/>
  <c r="K30" i="2"/>
  <c r="H30" i="2"/>
  <c r="C30" i="2"/>
  <c r="S29" i="2"/>
  <c r="R29" i="2"/>
  <c r="P29" i="2"/>
  <c r="F29" i="2"/>
  <c r="C29" i="2"/>
  <c r="V28" i="2"/>
  <c r="N28" i="2"/>
  <c r="M28" i="2"/>
  <c r="J28" i="2"/>
  <c r="C28" i="2"/>
  <c r="E23" i="2"/>
  <c r="U42" i="2" s="1"/>
  <c r="E22" i="2"/>
  <c r="N41" i="2" s="1"/>
  <c r="E21" i="2"/>
  <c r="W40" i="2" s="1"/>
  <c r="E20" i="2"/>
  <c r="R39" i="2" s="1"/>
  <c r="E19" i="2"/>
  <c r="W38" i="2" s="1"/>
  <c r="E18" i="2"/>
  <c r="T37" i="2" s="1"/>
  <c r="E17" i="2"/>
  <c r="O36" i="2" s="1"/>
  <c r="E16" i="2"/>
  <c r="T35" i="2" s="1"/>
  <c r="E15" i="2"/>
  <c r="O34" i="2" s="1"/>
  <c r="E14" i="2"/>
  <c r="V33" i="2" s="1"/>
  <c r="E13" i="2"/>
  <c r="S32" i="2" s="1"/>
  <c r="E12" i="2"/>
  <c r="N31" i="2" s="1"/>
  <c r="E11" i="2"/>
  <c r="U30" i="2" s="1"/>
  <c r="W10" i="2"/>
  <c r="V10" i="2"/>
  <c r="U10" i="2"/>
  <c r="E10" i="2"/>
  <c r="N29" i="2" s="1"/>
  <c r="E9" i="2"/>
  <c r="W28" i="2" s="1"/>
  <c r="E47" i="1"/>
  <c r="D47" i="1"/>
  <c r="C47" i="1"/>
  <c r="K32" i="1"/>
  <c r="N31" i="1"/>
  <c r="M31" i="1"/>
  <c r="L31" i="1"/>
  <c r="K31" i="1"/>
  <c r="J31" i="1"/>
  <c r="I31" i="1"/>
  <c r="H31" i="1"/>
  <c r="G31" i="1"/>
  <c r="F31" i="1"/>
  <c r="E31" i="1"/>
  <c r="E25" i="1"/>
  <c r="E26" i="1" s="1"/>
  <c r="D25" i="1"/>
  <c r="C25" i="1"/>
  <c r="F20" i="1"/>
  <c r="F19" i="1"/>
  <c r="D18" i="1"/>
  <c r="F18" i="1" s="1"/>
  <c r="N33" i="2" l="1"/>
  <c r="I32" i="2"/>
  <c r="Q34" i="2"/>
  <c r="S34" i="2"/>
  <c r="M32" i="2"/>
  <c r="T34" i="2"/>
  <c r="R32" i="2"/>
  <c r="V34" i="2"/>
  <c r="G29" i="2"/>
  <c r="U32" i="2"/>
  <c r="W34" i="2"/>
  <c r="L38" i="2"/>
  <c r="D26" i="1"/>
  <c r="D45" i="1" s="1"/>
  <c r="J32" i="1"/>
  <c r="V29" i="2"/>
  <c r="J29" i="2"/>
  <c r="C43" i="2"/>
  <c r="C7" i="1" s="1"/>
  <c r="G34" i="2"/>
  <c r="I35" i="2"/>
  <c r="G37" i="2"/>
  <c r="O38" i="2"/>
  <c r="J41" i="2"/>
  <c r="L42" i="2"/>
  <c r="Q31" i="2"/>
  <c r="F32" i="2"/>
  <c r="O33" i="2"/>
  <c r="J32" i="2"/>
  <c r="Q33" i="2"/>
  <c r="U35" i="2"/>
  <c r="R33" i="2"/>
  <c r="V35" i="2"/>
  <c r="S33" i="2"/>
  <c r="W33" i="2"/>
  <c r="Q36" i="2"/>
  <c r="U29" i="2"/>
  <c r="I29" i="2"/>
  <c r="V32" i="2"/>
  <c r="M38" i="2"/>
  <c r="W29" i="2"/>
  <c r="K29" i="2"/>
  <c r="M31" i="2"/>
  <c r="F33" i="2"/>
  <c r="H34" i="2"/>
  <c r="J35" i="2"/>
  <c r="J37" i="2"/>
  <c r="P38" i="2"/>
  <c r="K41" i="2"/>
  <c r="O29" i="2"/>
  <c r="P31" i="2"/>
  <c r="G33" i="2"/>
  <c r="J34" i="2"/>
  <c r="L35" i="2"/>
  <c r="K37" i="2"/>
  <c r="R38" i="2"/>
  <c r="O41" i="2"/>
  <c r="W42" i="2"/>
  <c r="E45" i="1"/>
  <c r="E27" i="1"/>
  <c r="L32" i="1"/>
  <c r="L28" i="2"/>
  <c r="Q29" i="2"/>
  <c r="J30" i="2"/>
  <c r="V30" i="2"/>
  <c r="O31" i="2"/>
  <c r="H32" i="2"/>
  <c r="T32" i="2"/>
  <c r="M33" i="2"/>
  <c r="F34" i="2"/>
  <c r="R34" i="2"/>
  <c r="K35" i="2"/>
  <c r="W35" i="2"/>
  <c r="P36" i="2"/>
  <c r="I37" i="2"/>
  <c r="U37" i="2"/>
  <c r="N38" i="2"/>
  <c r="G39" i="2"/>
  <c r="S39" i="2"/>
  <c r="L40" i="2"/>
  <c r="Q41" i="2"/>
  <c r="J42" i="2"/>
  <c r="V42" i="2"/>
  <c r="H39" i="2"/>
  <c r="T39" i="2"/>
  <c r="F36" i="2"/>
  <c r="R36" i="2"/>
  <c r="I39" i="2"/>
  <c r="U39" i="2"/>
  <c r="N40" i="2"/>
  <c r="H32" i="1"/>
  <c r="I32" i="1"/>
  <c r="O28" i="2"/>
  <c r="H29" i="2"/>
  <c r="T29" i="2"/>
  <c r="M30" i="2"/>
  <c r="F31" i="2"/>
  <c r="R31" i="2"/>
  <c r="K32" i="2"/>
  <c r="W32" i="2"/>
  <c r="P33" i="2"/>
  <c r="I34" i="2"/>
  <c r="U34" i="2"/>
  <c r="N35" i="2"/>
  <c r="G36" i="2"/>
  <c r="S36" i="2"/>
  <c r="L37" i="2"/>
  <c r="Q38" i="2"/>
  <c r="J39" i="2"/>
  <c r="V39" i="2"/>
  <c r="O40" i="2"/>
  <c r="H41" i="2"/>
  <c r="T41" i="2"/>
  <c r="M42" i="2"/>
  <c r="P28" i="2"/>
  <c r="N30" i="2"/>
  <c r="G31" i="2"/>
  <c r="S31" i="2"/>
  <c r="L32" i="2"/>
  <c r="H36" i="2"/>
  <c r="T36" i="2"/>
  <c r="M37" i="2"/>
  <c r="K39" i="2"/>
  <c r="W39" i="2"/>
  <c r="P40" i="2"/>
  <c r="N42" i="2"/>
  <c r="Q28" i="2"/>
  <c r="O30" i="2"/>
  <c r="H31" i="2"/>
  <c r="T31" i="2"/>
  <c r="I36" i="2"/>
  <c r="U36" i="2"/>
  <c r="N37" i="2"/>
  <c r="L39" i="2"/>
  <c r="Q40" i="2"/>
  <c r="O42" i="2"/>
  <c r="F28" i="2"/>
  <c r="R28" i="2"/>
  <c r="P30" i="2"/>
  <c r="I31" i="2"/>
  <c r="U31" i="2"/>
  <c r="N32" i="2"/>
  <c r="J36" i="2"/>
  <c r="V36" i="2"/>
  <c r="O37" i="2"/>
  <c r="M39" i="2"/>
  <c r="F40" i="2"/>
  <c r="R40" i="2"/>
  <c r="P42" i="2"/>
  <c r="G28" i="2"/>
  <c r="S28" i="2"/>
  <c r="L29" i="2"/>
  <c r="Q30" i="2"/>
  <c r="J31" i="2"/>
  <c r="V31" i="2"/>
  <c r="O32" i="2"/>
  <c r="H33" i="2"/>
  <c r="T33" i="2"/>
  <c r="M34" i="2"/>
  <c r="F35" i="2"/>
  <c r="R35" i="2"/>
  <c r="K36" i="2"/>
  <c r="W36" i="2"/>
  <c r="P37" i="2"/>
  <c r="I38" i="2"/>
  <c r="U38" i="2"/>
  <c r="N39" i="2"/>
  <c r="G40" i="2"/>
  <c r="S40" i="2"/>
  <c r="L41" i="2"/>
  <c r="Q42" i="2"/>
  <c r="M32" i="1"/>
  <c r="N32" i="1"/>
  <c r="H28" i="2"/>
  <c r="T28" i="2"/>
  <c r="M29" i="2"/>
  <c r="F30" i="2"/>
  <c r="R30" i="2"/>
  <c r="K31" i="2"/>
  <c r="W31" i="2"/>
  <c r="P32" i="2"/>
  <c r="I33" i="2"/>
  <c r="U33" i="2"/>
  <c r="N34" i="2"/>
  <c r="G35" i="2"/>
  <c r="S35" i="2"/>
  <c r="L36" i="2"/>
  <c r="Q37" i="2"/>
  <c r="J38" i="2"/>
  <c r="V38" i="2"/>
  <c r="O39" i="2"/>
  <c r="H40" i="2"/>
  <c r="T40" i="2"/>
  <c r="M41" i="2"/>
  <c r="F42" i="2"/>
  <c r="R42" i="2"/>
  <c r="I28" i="2"/>
  <c r="U28" i="2"/>
  <c r="G30" i="2"/>
  <c r="S30" i="2"/>
  <c r="L31" i="2"/>
  <c r="Q32" i="2"/>
  <c r="J33" i="2"/>
  <c r="H35" i="2"/>
  <c r="M36" i="2"/>
  <c r="F37" i="2"/>
  <c r="R37" i="2"/>
  <c r="K38" i="2"/>
  <c r="P39" i="2"/>
  <c r="I40" i="2"/>
  <c r="U40" i="2"/>
  <c r="G42" i="2"/>
  <c r="S42" i="2"/>
  <c r="N36" i="2"/>
  <c r="Q39" i="2"/>
  <c r="J40" i="2"/>
  <c r="V40" i="2"/>
  <c r="K28" i="2"/>
  <c r="I30" i="2"/>
  <c r="G32" i="2"/>
  <c r="H37" i="2"/>
  <c r="F39" i="2"/>
  <c r="K40" i="2"/>
  <c r="I42" i="2"/>
  <c r="D27" i="1" l="1"/>
  <c r="V43" i="2"/>
  <c r="D37" i="1" s="1"/>
  <c r="J43" i="2"/>
  <c r="M43" i="2"/>
  <c r="O43" i="2"/>
  <c r="N43" i="2"/>
  <c r="W43" i="2"/>
  <c r="E37" i="1" s="1"/>
  <c r="F43" i="2"/>
  <c r="C33" i="1" s="1"/>
  <c r="C27" i="1"/>
  <c r="C45" i="1"/>
  <c r="O44" i="2"/>
  <c r="C34" i="1"/>
  <c r="S43" i="2"/>
  <c r="D36" i="1" s="1"/>
  <c r="Q43" i="2"/>
  <c r="I43" i="2"/>
  <c r="G43" i="2"/>
  <c r="D33" i="1" s="1"/>
  <c r="K43" i="2"/>
  <c r="E35" i="1" s="1"/>
  <c r="T43" i="2"/>
  <c r="E36" i="1" s="1"/>
  <c r="U43" i="2"/>
  <c r="C37" i="1" s="1"/>
  <c r="H43" i="2"/>
  <c r="E33" i="1" s="1"/>
  <c r="P43" i="2"/>
  <c r="R43" i="2"/>
  <c r="C36" i="1" s="1"/>
  <c r="L43" i="2"/>
  <c r="D41" i="1" l="1"/>
  <c r="D35" i="1"/>
  <c r="D38" i="1"/>
  <c r="E41" i="1"/>
  <c r="Q44" i="2"/>
  <c r="E34" i="1"/>
  <c r="C41" i="1"/>
  <c r="P44" i="2"/>
  <c r="D34" i="1"/>
  <c r="E38" i="1"/>
  <c r="E39" i="1" l="1"/>
  <c r="E32" i="1"/>
  <c r="D39" i="1"/>
  <c r="D40" i="1" s="1"/>
  <c r="D32" i="1"/>
  <c r="E40" i="1" l="1"/>
  <c r="G32" i="1"/>
  <c r="F32" i="1"/>
  <c r="F37" i="1" l="1"/>
  <c r="G37" i="1" s="1"/>
  <c r="H37" i="1" s="1"/>
  <c r="I37" i="1" s="1"/>
  <c r="J37" i="1" s="1"/>
  <c r="K37" i="1" s="1"/>
  <c r="L37" i="1" s="1"/>
  <c r="M37" i="1" s="1"/>
  <c r="N37" i="1" s="1"/>
  <c r="F36" i="1"/>
  <c r="F33" i="1"/>
  <c r="F35" i="1"/>
  <c r="G35" i="1" s="1"/>
  <c r="H35" i="1" s="1"/>
  <c r="I35" i="1" s="1"/>
  <c r="J35" i="1" s="1"/>
  <c r="K35" i="1" s="1"/>
  <c r="L35" i="1" s="1"/>
  <c r="M35" i="1" s="1"/>
  <c r="N35" i="1" s="1"/>
  <c r="F34" i="1"/>
  <c r="G34" i="1" l="1"/>
  <c r="G33" i="1"/>
  <c r="F38" i="1"/>
  <c r="F39" i="1" s="1"/>
  <c r="F41" i="1"/>
  <c r="G36" i="1"/>
  <c r="F40" i="1" l="1"/>
  <c r="H36" i="1"/>
  <c r="G41" i="1"/>
  <c r="G38" i="1"/>
  <c r="H33" i="1"/>
  <c r="H34" i="1"/>
  <c r="G39" i="1"/>
  <c r="G40" i="1" s="1"/>
  <c r="I36" i="1" l="1"/>
  <c r="H41" i="1"/>
  <c r="I34" i="1"/>
  <c r="I33" i="1"/>
  <c r="H38" i="1"/>
  <c r="H39" i="1" s="1"/>
  <c r="H40" i="1" l="1"/>
  <c r="E49" i="1"/>
  <c r="E50" i="1" s="1"/>
  <c r="D49" i="1"/>
  <c r="D50" i="1" s="1"/>
  <c r="C49" i="1"/>
  <c r="C50" i="1" s="1"/>
  <c r="I41" i="1"/>
  <c r="J36" i="1"/>
  <c r="J33" i="1"/>
  <c r="I38" i="1"/>
  <c r="J34" i="1"/>
  <c r="I39" i="1"/>
  <c r="I40" i="1" s="1"/>
  <c r="K34" i="1" l="1"/>
  <c r="K36" i="1"/>
  <c r="J41" i="1"/>
  <c r="J38" i="1"/>
  <c r="J39" i="1" s="1"/>
  <c r="K33" i="1"/>
  <c r="J40" i="1" l="1"/>
  <c r="L33" i="1"/>
  <c r="K38" i="1"/>
  <c r="K39" i="1" s="1"/>
  <c r="L36" i="1"/>
  <c r="K41" i="1"/>
  <c r="L34" i="1"/>
  <c r="K40" i="1" l="1"/>
  <c r="M34" i="1"/>
  <c r="M36" i="1"/>
  <c r="L41" i="1"/>
  <c r="M33" i="1"/>
  <c r="L38" i="1"/>
  <c r="L39" i="1" s="1"/>
  <c r="L40" i="1" s="1"/>
  <c r="N33" i="1" l="1"/>
  <c r="N38" i="1" s="1"/>
  <c r="M38" i="1"/>
  <c r="N34" i="1"/>
  <c r="M39" i="1"/>
  <c r="M40" i="1" s="1"/>
  <c r="N36" i="1"/>
  <c r="N41" i="1" s="1"/>
  <c r="M41" i="1"/>
  <c r="N39" i="1" l="1"/>
  <c r="N40" i="1" l="1"/>
  <c r="D59" i="1"/>
  <c r="G61" i="1"/>
  <c r="D60" i="1"/>
  <c r="F64" i="1"/>
  <c r="D63" i="1"/>
  <c r="F63" i="1"/>
  <c r="E48" i="1"/>
  <c r="E51" i="1" s="1"/>
  <c r="F61" i="1"/>
  <c r="C62" i="1"/>
  <c r="D62" i="1"/>
  <c r="D48" i="1"/>
  <c r="D51" i="1" s="1"/>
  <c r="C61" i="1"/>
  <c r="D61" i="1"/>
  <c r="G62" i="1"/>
  <c r="E64" i="1"/>
  <c r="C59" i="1"/>
  <c r="G64" i="1"/>
  <c r="D64" i="1"/>
  <c r="G60" i="1"/>
  <c r="C48" i="1"/>
  <c r="C51" i="1" s="1"/>
  <c r="C63" i="1"/>
  <c r="F62" i="1"/>
  <c r="F59" i="1"/>
  <c r="E59" i="1"/>
  <c r="G59" i="1"/>
  <c r="E61" i="1"/>
  <c r="C60" i="1"/>
  <c r="G63" i="1"/>
  <c r="E62" i="1"/>
  <c r="F60" i="1"/>
  <c r="C64" i="1"/>
  <c r="E63" i="1"/>
  <c r="E60" i="1"/>
  <c r="D52" i="1" l="1"/>
  <c r="D53" i="1"/>
  <c r="E52" i="1"/>
  <c r="E53" i="1"/>
  <c r="C52" i="1"/>
  <c r="C53" i="1"/>
</calcChain>
</file>

<file path=xl/sharedStrings.xml><?xml version="1.0" encoding="utf-8"?>
<sst xmlns="http://schemas.openxmlformats.org/spreadsheetml/2006/main" count="290" uniqueCount="228">
  <si>
    <t>Commodities - consensus 2026-28 of the members, summed into the box</t>
  </si>
  <si>
    <t>Bloomberg BEST consensus (Oct-7-2026, company totals in R$ mn; Members sheet of the main model). Lease principal: the analysts' models. Index points = R$ mn x points / market cap. Only 2026-28 are built from the members.</t>
  </si>
  <si>
    <t>Legend:</t>
  </si>
  <si>
    <t>input</t>
  </si>
  <si>
    <t>assumption</t>
  </si>
  <si>
    <t>formula</t>
  </si>
  <si>
    <t>FX for Petrobras' lease (R$ / US$)</t>
  </si>
  <si>
    <t>Analysts' 2027 average (Vale, Suzano Macro sheets).</t>
  </si>
  <si>
    <t>1. Consensus by member (R$ mn)</t>
  </si>
  <si>
    <t>Member</t>
  </si>
  <si>
    <t>Index points</t>
  </si>
  <si>
    <t>Market cap (R$ mn)</t>
  </si>
  <si>
    <t>Points / market cap</t>
  </si>
  <si>
    <t>Sales 2026</t>
  </si>
  <si>
    <t>Sales 2027</t>
  </si>
  <si>
    <t>Sales 2028</t>
  </si>
  <si>
    <t>EBITDA 2026</t>
  </si>
  <si>
    <t>EBITDA 2027</t>
  </si>
  <si>
    <t>EBITDA 2028</t>
  </si>
  <si>
    <t>EBIT 2026</t>
  </si>
  <si>
    <t>EBIT 2027</t>
  </si>
  <si>
    <t>EBIT 2028</t>
  </si>
  <si>
    <t>Net income 2026</t>
  </si>
  <si>
    <t>Net income 2027</t>
  </si>
  <si>
    <t>Net income 2028</t>
  </si>
  <si>
    <t>Capex 2026</t>
  </si>
  <si>
    <t>Capex 2027</t>
  </si>
  <si>
    <t>Capex 2028</t>
  </si>
  <si>
    <t>Lease principal 2026</t>
  </si>
  <si>
    <t>Lease principal 2027</t>
  </si>
  <si>
    <t>Lease principal 2028</t>
  </si>
  <si>
    <t>Vale (VALE3)</t>
  </si>
  <si>
    <t>Petrobras (PETR4 + PETR3)</t>
  </si>
  <si>
    <t>PRIO (PRIO3)</t>
  </si>
  <si>
    <t>Vibra Energia (VBBR3)</t>
  </si>
  <si>
    <t>Ultrapar (UGPA3)</t>
  </si>
  <si>
    <t>Gerdau (GGBR4)</t>
  </si>
  <si>
    <t>Suzano (SUZB3)</t>
  </si>
  <si>
    <t>Klabin (KLBN11)</t>
  </si>
  <si>
    <t>Cosan (CSAN3)</t>
  </si>
  <si>
    <t>Met. Gerdau (GOAU4)</t>
  </si>
  <si>
    <t>CSN Mineração (CMIN3)</t>
  </si>
  <si>
    <t>Brava Energia (BRAV3)</t>
  </si>
  <si>
    <t>Bradespar (BRAP4)</t>
  </si>
  <si>
    <t>CSN (CSNA3)</t>
  </si>
  <si>
    <t>Usiminas (USIM5)</t>
  </si>
  <si>
    <t>2. In index points (= R$ mn x points / market cap) and the box total</t>
  </si>
  <si>
    <t>Commodities box</t>
  </si>
  <si>
    <t>Check: net income vs. Box Shares!M10:O10</t>
  </si>
  <si>
    <t>Pink = assumption / proxy. Holdings (Metalurgica Gerdau, Bradespar): sales, EBITDA, EBIT and capex at the subsidiary's ratios to net income (Gerdau, Vale); Metalurgica Gerdau's 2028 net income grows as Gerdau's (the main model had 0, hence the check).</t>
  </si>
  <si>
    <t>Lease principal: Petrobras = lease payments - interest on lease liabilities (analyst model, Consolidated r250 and r162, US$ mn x FX); Suzano = '(-) Leasing' of the analyst's FCFE bridge. Other members: 0 until the Bloomberg pull (Vibra, Ultrapar, Brava and PRIO have IFRS 16 leases).</t>
  </si>
  <si>
    <t>Petrobras: PETR4 and PETR3 points added (same company figures).</t>
  </si>
  <si>
    <t>Commodities - how the XP commodity analysts treat the long term (memo)</t>
  </si>
  <si>
    <t>Files in inputs/analyst_models/Commodities (DCF &amp; Sensitivity, Valuation, Control Panel sheets), read on Oct-8-2026.</t>
  </si>
  <si>
    <t>Model</t>
  </si>
  <si>
    <t>Currency</t>
  </si>
  <si>
    <t>Method</t>
  </si>
  <si>
    <t>Value date</t>
  </si>
  <si>
    <t>Explicit to</t>
  </si>
  <si>
    <t>Perpetuity g</t>
  </si>
  <si>
    <t>Risk free</t>
  </si>
  <si>
    <t>Beta x ERP</t>
  </si>
  <si>
    <t>Ke / WACC</t>
  </si>
  <si>
    <t>Long-term price</t>
  </si>
  <si>
    <t>USD</t>
  </si>
  <si>
    <t>FCFF - net debt, SOTP</t>
  </si>
  <si>
    <t>End-2027</t>
  </si>
  <si>
    <t>2035</t>
  </si>
  <si>
    <t>2.4% (US CPI, real 0%)</t>
  </si>
  <si>
    <t>(real 70% BR 7.8% + 30% US 2.55%, + US CPI) x 0.85 = 7.5%</t>
  </si>
  <si>
    <t>1.0 x 5.5%</t>
  </si>
  <si>
    <t>13.0% / 11.3%</t>
  </si>
  <si>
    <t>Iron ore US$100 (26YE) &gt; 97.5 &gt; 93.75 &gt; 90/t from 2029; copper 14k &gt; 15k (2030)</t>
  </si>
  <si>
    <t>Petrobras (PETR4)</t>
  </si>
  <si>
    <t>FCFF - net debt, by business</t>
  </si>
  <si>
    <t>(older vintage)</t>
  </si>
  <si>
    <t>2031 (EBITDA to 2060)</t>
  </si>
  <si>
    <t>2.4% on an adjusted 2031 FCFF</t>
  </si>
  <si>
    <t>Treasury 4.0% + CDS 2.1%</t>
  </si>
  <si>
    <t>1.53 (levered) x 5.0%</t>
  </si>
  <si>
    <t>13.7% / 12.1%</t>
  </si>
  <si>
    <t>Brent US$63/bbl; EBITDA falls with reserves: -6% a year real 2028-35</t>
  </si>
  <si>
    <t>BRL</t>
  </si>
  <si>
    <t>FCFE (FCFF check)</t>
  </si>
  <si>
    <t>4.0% (IPCA, real 0%)</t>
  </si>
  <si>
    <t>(real 90% BR 7.5% + 10% US, + IPCA) x 0.85 = 9.6%</t>
  </si>
  <si>
    <t>15.1% / 11.2%</t>
  </si>
  <si>
    <t>BHKP real US$590 &gt; 570 &gt; 560/t from 2028</t>
  </si>
  <si>
    <t>Aura (AURA33)</t>
  </si>
  <si>
    <t>FCFF, SOTP by mine</t>
  </si>
  <si>
    <t>End-2026</t>
  </si>
  <si>
    <t>Mine lives (to ~2047)</t>
  </si>
  <si>
    <t>None (finite reserves)</t>
  </si>
  <si>
    <t>Same rule, USD = 8.5%</t>
  </si>
  <si>
    <t>0.5 x 5.5%</t>
  </si>
  <si>
    <t>11.2% / 10.5%</t>
  </si>
  <si>
    <t>Gold US$4,500 (26-27) &gt; 3,500 by 2035; copper 14k</t>
  </si>
  <si>
    <t>Real growth after 2028 in the analysts' models (a year, 2028-35)</t>
  </si>
  <si>
    <t>Line</t>
  </si>
  <si>
    <t>Nominal</t>
  </si>
  <si>
    <t>Real</t>
  </si>
  <si>
    <t>Note</t>
  </si>
  <si>
    <t>Vale</t>
  </si>
  <si>
    <t>NOPLAT, USD</t>
  </si>
  <si>
    <t>Copper and nickel growth; 28.8% of the box</t>
  </si>
  <si>
    <t>Petrobras</t>
  </si>
  <si>
    <t>EBITDA, USD</t>
  </si>
  <si>
    <t>Reserve depletion; 43.0% of the box</t>
  </si>
  <si>
    <t>Suzano</t>
  </si>
  <si>
    <t>NOPLAT, BRL</t>
  </si>
  <si>
    <t>Real pulp price flat from 2028; 2.8% of the box</t>
  </si>
  <si>
    <t>Weighted by the box points, the three give about -2% a year real: zero real growth for the box is neutral to slightly generous.</t>
  </si>
  <si>
    <t>Commodities - FCFE with zero real growth, the analysts' logic on the box consensus (end-2027)</t>
  </si>
  <si>
    <t>Cash to shareholders = net income + D&amp;A + capex - lease principal + change in working capital (net debt constant). Consensus 2026-28 summed from the members; projection for the box; Gordon perpetuity with zero real growth.</t>
  </si>
  <si>
    <t>1. Inputs</t>
  </si>
  <si>
    <t>Item</t>
  </si>
  <si>
    <t>Value</t>
  </si>
  <si>
    <t>Source / note</t>
  </si>
  <si>
    <t>Commodities, index points today</t>
  </si>
  <si>
    <t>Members' weight x Ibovespa close of Oct-5-2026 (Box Shares!C10 of the main model).</t>
  </si>
  <si>
    <t>Long-term IPCA</t>
  </si>
  <si>
    <t>House (Target!B63) and the analysts' Macro sheets.</t>
  </si>
  <si>
    <t>Long-term real growth of the box</t>
  </si>
  <si>
    <t>Caio, Oct-8-2026: zero, as the analysts' commodity perpetuities (g = inflation) or finite lives.</t>
  </si>
  <si>
    <t>Share of the risk free kept after tax</t>
  </si>
  <si>
    <t>As the analysts: risk free = (NTN-B + IPCA) x 0.85.</t>
  </si>
  <si>
    <t>Equity risk premium, the same for every box</t>
  </si>
  <si>
    <t>Unified (Caio, Oct-8-2026).</t>
  </si>
  <si>
    <t>Earnings elasticity to commodity prices</t>
  </si>
  <si>
    <t>Box Earnings!J10 of the main model: 12-month change of the box 12m fwd EPS vs. the DJP commodity ETN, Oct-07 to Sep-26.</t>
  </si>
  <si>
    <t>Working capital, % of sales</t>
  </si>
  <si>
    <t>House assumption (Assumptions!C15 of the main model).</t>
  </si>
  <si>
    <t>2. House vs. analysts, variable by variable (choice: 1 = house, 2 = analysts)</t>
  </si>
  <si>
    <t>Variable</t>
  </si>
  <si>
    <t>House</t>
  </si>
  <si>
    <t>Analysts</t>
  </si>
  <si>
    <t>Choice</t>
  </si>
  <si>
    <t>Used</t>
  </si>
  <si>
    <t>House / analysts</t>
  </si>
  <si>
    <t>Beta</t>
  </si>
  <si>
    <t>House: the box beta, weekly 5 years vs. the Ibovespa from the local box index (Box Betas). Analysts: 1.0 (Vale, Suzano).</t>
  </si>
  <si>
    <t>Perpetuity growth (g)</t>
  </si>
  <si>
    <t>House: 4.7% (Target!B54). Analysts (commodities): inflation x (1 + real growth), real growth 0%.</t>
  </si>
  <si>
    <t>Explicit years after the value date</t>
  </si>
  <si>
    <t>House: 2028-31. Analysts: to 2035 (Vale, Suzano). Growth reaches g by the last explicit year.</t>
  </si>
  <si>
    <t>Extra periods in the discount of the terminal value</t>
  </si>
  <si>
    <t>House: the TV is discounted one period more than the last flow. Analysts: the last year's factor.</t>
  </si>
  <si>
    <t>3. Cost of equity by scenario</t>
  </si>
  <si>
    <t>Bear</t>
  </si>
  <si>
    <t>Base</t>
  </si>
  <si>
    <t>Bull</t>
  </si>
  <si>
    <t>How it is calculated</t>
  </si>
  <si>
    <t>5-year real rate (NTN-B)</t>
  </si>
  <si>
    <t>Same scenarios as the other boxes.</t>
  </si>
  <si>
    <t>Risk free, nominal = (NTN-B + long-term IPCA) x share kept after tax</t>
  </si>
  <si>
    <t>Nominal, because the flows are nominal.</t>
  </si>
  <si>
    <t>Ke = risk free + beta x ERP</t>
  </si>
  <si>
    <t>Ke - g</t>
  </si>
  <si>
    <t>4. Box projection (index points): consensus 2026-28, box-level projection after 2028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</si>
  <si>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</si>
  <si>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</si>
  <si>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</si>
  <si>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</si>
  <si>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</si>
  <si>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</si>
  <si>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</si>
  <si>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</si>
  <si>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</si>
  <si>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2036</t>
  </si>
  <si>
    <t>2037</t>
  </si>
  <si>
    <t>How it is calculated / source</t>
  </si>
  <si>
    <t>Years after end-2027 (grey = after the explicit years, not used)</t>
  </si>
  <si>
    <t>Growth: 2027-28 net income consensus; then linear from the 2028 growth to g in the last explicit year</t>
  </si>
  <si>
    <t>Every line grows at this rate after 2028: prices at their long-term level, volumes flat in real terms.</t>
  </si>
  <si>
    <t>Sales</t>
  </si>
  <si>
    <t>Box Consensus; used only for the working capital.</t>
  </si>
  <si>
    <t>Net income</t>
  </si>
  <si>
    <t>Box Consensus (sum of the members).</t>
  </si>
  <si>
    <t>(+) D&amp;A = EBITDA - EBIT</t>
  </si>
  <si>
    <t>Includes the depreciation of leased assets (IFRS 16), hence the lease line below.</t>
  </si>
  <si>
    <t>(-) Capex</t>
  </si>
  <si>
    <t>Consensus 2026-28 (about 1.1x D&amp;A in 2028: maintenance level); then with inflation.</t>
  </si>
  <si>
    <t>(-) Lease principal</t>
  </si>
  <si>
    <t>Petrobras and Suzano (analysts' models); others pending. The lease interest is already in net income.</t>
  </si>
  <si>
    <t>(+/-) Change in working capital = -NWC % x change in sales</t>
  </si>
  <si>
    <t>Cash to shareholders (FCFE, net debt constant)</t>
  </si>
  <si>
    <t>As the analysts' bridges (NOPAT + D&amp;A - capex - NWC - leases), at the equity level with constant net debt.</t>
  </si>
  <si>
    <t>FCFE / net income</t>
  </si>
  <si>
    <t>Memo: capex / D&amp;A</t>
  </si>
  <si>
    <t>5. Valuation at the end of 2027</t>
  </si>
  <si>
    <t>Ke</t>
  </si>
  <si>
    <t>Commodity price shock</t>
  </si>
  <si>
    <t>Symmetric +/-20%, as Assumptions row 62 of the main model.</t>
  </si>
  <si>
    <t>Earnings shock = elasticity x price shock</t>
  </si>
  <si>
    <t>Applied to net income only: capex and leases do not move with prices, so the cash flow moves more than earnings.</t>
  </si>
  <si>
    <t>PV of the explicit flows = PV(FCFE) + shock x PV(net income)</t>
  </si>
  <si>
    <t>t = 1 for 2028 (value at end-2027); only the explicit years.</t>
  </si>
  <si>
    <t>Terminal value = (last FCFE + shock x last net income) x (1 + g) / (Ke - g)</t>
  </si>
  <si>
    <t>Gordon, nominal growth = inflation (zero real).</t>
  </si>
  <si>
    <t>PV of the terminal value = TV / (1 + Ke) ^ (explicit years + extra periods)</t>
  </si>
  <si>
    <t>Fair value of Commodities at the end of 2027 (index pts)</t>
  </si>
  <si>
    <t>Upside vs. today</t>
  </si>
  <si>
    <t>Perpetuity share of the value</t>
  </si>
  <si>
    <t>Memo: upside in the unified DCF by box (main model, v7b)</t>
  </si>
  <si>
    <t>Ibov_house_2027_by_box_XP.xlsx, DCF by Box (house FCFF, CAPM rate, g 4.7%).</t>
  </si>
  <si>
    <t>Memo: upside in the multiples model (Oct-6)</t>
  </si>
  <si>
    <t>Ibov_valuation_by_box_model_XP.xlsx.</t>
  </si>
  <si>
    <t>6. Base upside (no price shock): Ke (rows) x long-term real growth (columns); explicit flows as projected</t>
  </si>
  <si>
    <t>Ke \ real growth</t>
  </si>
  <si>
    <t>Real growth enters the perpetuity only. 13.94% = Ke in the base ((6.76% + 4%) x 0.85 + 0.872 x 5.5%).</t>
  </si>
  <si>
    <t>7. What is fixed (not switchable) and where it comes from</t>
  </si>
  <si>
    <t>Risk free nominal: (NTN-B + IPCA) x 0.85</t>
  </si>
  <si>
    <t>Required by the nominal flows; the tax haircut as the analysts</t>
  </si>
  <si>
    <t>Equity risk premium 5.5%, the same for every box</t>
  </si>
  <si>
    <t>Unified (Caio)</t>
  </si>
  <si>
    <t>Content of 2026-28: Bloomberg consensus of the members, summed</t>
  </si>
  <si>
    <t>Strategy (unified with the other boxes)</t>
  </si>
  <si>
    <t>No commodity price model: the consensus carries the analysts' price decks to 2028</t>
  </si>
  <si>
    <t>Analysts reach long-term prices around 2028-29</t>
  </si>
  <si>
    <t>Cash flow = net income + D&amp;A - capex - lease principal - change in working capital</t>
  </si>
  <si>
    <t>Analysts' FCFF / FCFE bridges, net debt constant</t>
  </si>
  <si>
    <t>Projection for the box only; every line grows with net income; zero real growth in the long term</t>
  </si>
  <si>
    <t>Analysts' commodity logic</t>
  </si>
  <si>
    <t>Scenario real rates 8.5% / today / 5.5%</t>
  </si>
  <si>
    <t>House (unified with the other boxes)</t>
  </si>
  <si>
    <t>Commodity price shock +/-20% x earnings elasticity 1.26, on net income</t>
  </si>
  <si>
    <t>Main model (Box Earnings)</t>
  </si>
  <si>
    <t>Value at end-2027, compared with today's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</si>
</sst>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%"/>
    <numFmt numFmtId="166" formatCode="0.000"/>
    <numFmt numFmtId="167" formatCode="0.0&quot; pp&quot;"/>
    <numFmt numFmtId="168" formatCode="0.00\x"/>
    <numFmt numFmtId="169" formatCode="\+0.0%;\-0.0%;0.0%"/>
    <numFmt numFmtId="170" formatCode="0.000000"/>
  </numFmts>
  <fonts count="13" x14ac:knownFonts="1">
    <font>
      <sz val="11"/>
      <color theme="1"/>
      <name val="Calibri"/>
      <family val="2"/>
      <scheme val="minor"/>
    </font>
    <font>
      <b/>
      <sz val="18"/>
      <color rgb="FF1D1E1F"/>
      <name val="Roboto"/>
      <family val="2"/>
    </font>
    <font>
      <i/>
      <sz val="10"/>
      <color rgb="FF74797C"/>
      <name val="Roboto"/>
      <family val="2"/>
    </font>
    <font>
      <i/>
      <sz val="10"/>
      <color rgb="FF0070C0"/>
      <name val="Roboto"/>
      <family val="2"/>
    </font>
    <font>
      <b/>
      <i/>
      <sz val="10"/>
      <color rgb="FF0070C0"/>
      <name val="Roboto"/>
      <family val="2"/>
    </font>
    <font>
      <i/>
      <sz val="10"/>
      <color rgb="FF18191A"/>
      <name val="Roboto"/>
      <family val="2"/>
    </font>
    <font>
      <b/>
      <sz val="10"/>
      <color rgb="FFFFFFFF"/>
      <name val="Roboto"/>
      <family val="2"/>
    </font>
    <font>
      <sz val="10"/>
      <color rgb="FF18191A"/>
      <name val="Roboto"/>
      <family val="2"/>
    </font>
    <font>
      <b/>
      <sz val="10"/>
      <color rgb="FF0070C0"/>
      <name val="Roboto"/>
      <family val="2"/>
    </font>
    <font>
      <sz val="10"/>
      <color rgb="FF0070C0"/>
      <name val="Roboto"/>
      <family val="2"/>
    </font>
    <font>
      <b/>
      <sz val="10"/>
      <color rgb="FF18191A"/>
      <name val="Roboto"/>
      <family val="2"/>
    </font>
    <font>
      <sz val="10"/>
      <color rgb="FF18191A"/>
      <name val="Roboto"/>
      <family val="2"/>
    </font>
    <font>
      <sz val="10"/>
      <color rgb="FF0070C0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FFE7E7"/>
        <bgColor indexed="64"/>
      </patternFill>
    </fill>
    <fill>
      <patternFill patternType="solid">
        <fgColor rgb="FF1F2F44"/>
        <bgColor indexed="64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8" fillId="2" borderId="1" xfId="0" applyNumberFormat="1" applyFont="1" applyFill="1" applyBorder="1" applyAlignment="1">
      <alignment vertical="center"/>
    </xf>
    <xf numFmtId="2" fontId="8" fillId="2" borderId="1" xfId="0" applyNumberFormat="1" applyFont="1" applyFill="1" applyBorder="1" applyAlignment="1">
      <alignment vertical="center"/>
    </xf>
    <xf numFmtId="10" fontId="8" fillId="2" borderId="1" xfId="0" applyNumberFormat="1" applyFont="1" applyFill="1" applyBorder="1" applyAlignment="1">
      <alignment vertical="center"/>
    </xf>
    <xf numFmtId="166" fontId="9" fillId="0" borderId="0" xfId="0" applyNumberFormat="1" applyFont="1" applyAlignment="1">
      <alignment vertical="center"/>
    </xf>
    <xf numFmtId="166" fontId="8" fillId="2" borderId="1" xfId="0" applyNumberFormat="1" applyFont="1" applyFill="1" applyBorder="1" applyAlignment="1">
      <alignment vertical="center"/>
    </xf>
    <xf numFmtId="1" fontId="8" fillId="2" borderId="1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1" fontId="8" fillId="2" borderId="1" xfId="0" applyNumberFormat="1" applyFont="1" applyFill="1" applyBorder="1" applyAlignment="1">
      <alignment vertical="center"/>
    </xf>
    <xf numFmtId="1" fontId="10" fillId="0" borderId="0" xfId="0" applyNumberFormat="1" applyFont="1" applyAlignment="1">
      <alignment vertical="center"/>
    </xf>
    <xf numFmtId="10" fontId="7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0" fontId="10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8" fontId="7" fillId="0" borderId="0" xfId="0" applyNumberFormat="1" applyFont="1" applyAlignment="1">
      <alignment vertical="center"/>
    </xf>
    <xf numFmtId="169" fontId="8" fillId="2" borderId="1" xfId="0" applyNumberFormat="1" applyFont="1" applyFill="1" applyBorder="1" applyAlignment="1">
      <alignment vertical="center"/>
    </xf>
    <xf numFmtId="169" fontId="7" fillId="0" borderId="0" xfId="0" applyNumberFormat="1" applyFont="1" applyAlignment="1">
      <alignment vertical="center"/>
    </xf>
    <xf numFmtId="169" fontId="10" fillId="0" borderId="0" xfId="0" applyNumberFormat="1" applyFont="1" applyAlignment="1">
      <alignment vertical="center"/>
    </xf>
    <xf numFmtId="169" fontId="9" fillId="0" borderId="0" xfId="0" applyNumberFormat="1" applyFont="1" applyAlignment="1">
      <alignment vertical="center"/>
    </xf>
    <xf numFmtId="169" fontId="6" fillId="3" borderId="0" xfId="0" applyNumberFormat="1" applyFont="1" applyFill="1" applyAlignment="1">
      <alignment horizontal="center" vertical="center"/>
    </xf>
    <xf numFmtId="10" fontId="10" fillId="0" borderId="0" xfId="0" applyNumberFormat="1" applyFont="1" applyAlignment="1">
      <alignment horizontal="left" vertical="center"/>
    </xf>
    <xf numFmtId="169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170" fontId="11" fillId="0" borderId="0" xfId="0" applyNumberFormat="1" applyFont="1" applyAlignment="1">
      <alignment vertical="center"/>
    </xf>
    <xf numFmtId="3" fontId="8" fillId="2" borderId="1" xfId="0" applyNumberFormat="1" applyFont="1" applyFill="1" applyBorder="1" applyAlignment="1">
      <alignment vertical="center"/>
    </xf>
    <xf numFmtId="3" fontId="11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0" fontId="10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169" fontId="12" fillId="0" borderId="0" xfId="0" applyNumberFormat="1" applyFont="1" applyAlignment="1">
      <alignment vertical="center"/>
    </xf>
    <xf numFmtId="0" fontId="6" fillId="3" borderId="0" xfId="0" applyFont="1" applyFill="1" applyAlignment="1">
      <alignment vertical="center"/>
    </xf>
  </cellXfs>
  <cellStyles count="1">
    <cellStyle name="Normal" xfId="0" builtinId="0"/>
  </cellStyles>
  <dxfs count="1">
    <dxf>
      <font>
        <color rgb="FFA6A6A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77"/>
  <sheetViews>
    <sheetView showGridLines="0" tabSelected="1" zoomScale="85" zoomScaleNormal="85" workbookViewId="0">
      <pane xSplit="2" ySplit="4" topLeftCell="C39" activePane="bottomRight" state="frozen"/>
      <selection pane="topRight" activeCell="C1" sqref="C1"/>
      <selection pane="bottomLeft" activeCell="A5" sqref="A5"/>
      <selection pane="bottomRight" activeCell="D52" sqref="D52"/>
    </sheetView>
  </sheetViews>
  <sheetFormatPr defaultRowHeight="13.95" customHeight="1" x14ac:dyDescent="0.3"/>
  <cols>
    <col min="1" max="1" width="2.6640625" customWidth="1"/>
    <col min="2" max="2" width="64.6640625" customWidth="1"/>
    <col min="3" max="6" width="13.6640625" customWidth="1"/>
    <col min="7" max="14" width="11.33203125" customWidth="1"/>
    <col min="15" max="15" width="2.6640625" customWidth="1"/>
    <col min="16" max="16" width="90.6640625" customWidth="1"/>
  </cols>
  <sheetData>
    <row r="1" spans="2:16" ht="30" customHeight="1" x14ac:dyDescent="0.3">
      <c r="B1" s="1" t="s">
        <v>112</v>
      </c>
    </row>
    <row r="2" spans="2:16" ht="13.95" customHeight="1" x14ac:dyDescent="0.3">
      <c r="B2" s="2" t="s">
        <v>113</v>
      </c>
    </row>
    <row r="3" spans="2:1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6" ht="13.95" customHeight="1" x14ac:dyDescent="0.3">
      <c r="B5" s="47" t="s">
        <v>114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</row>
    <row r="6" spans="2:16" ht="13.95" customHeight="1" x14ac:dyDescent="0.3">
      <c r="B6" s="6" t="s">
        <v>115</v>
      </c>
      <c r="C6" s="7" t="s">
        <v>116</v>
      </c>
      <c r="D6" s="7"/>
      <c r="P6" s="7" t="s">
        <v>117</v>
      </c>
    </row>
    <row r="7" spans="2:16" ht="13.95" customHeight="1" x14ac:dyDescent="0.3">
      <c r="B7" s="8" t="s">
        <v>118</v>
      </c>
      <c r="C7" s="9">
        <f>'Box Consensus'!C43</f>
        <v>65411.174470267259</v>
      </c>
      <c r="P7" s="2" t="s">
        <v>119</v>
      </c>
    </row>
    <row r="8" spans="2:16" ht="13.95" customHeight="1" x14ac:dyDescent="0.3">
      <c r="B8" s="8" t="s">
        <v>120</v>
      </c>
      <c r="C8" s="10">
        <v>0.04</v>
      </c>
      <c r="P8" s="2" t="s">
        <v>121</v>
      </c>
    </row>
    <row r="9" spans="2:16" ht="13.95" customHeight="1" x14ac:dyDescent="0.3">
      <c r="B9" s="8" t="s">
        <v>122</v>
      </c>
      <c r="C9" s="10">
        <v>0</v>
      </c>
      <c r="P9" s="2" t="s">
        <v>123</v>
      </c>
    </row>
    <row r="10" spans="2:16" ht="13.95" customHeight="1" x14ac:dyDescent="0.3">
      <c r="B10" s="8" t="s">
        <v>124</v>
      </c>
      <c r="C10" s="11">
        <v>0.85</v>
      </c>
      <c r="P10" s="2" t="s">
        <v>125</v>
      </c>
    </row>
    <row r="11" spans="2:16" ht="13.95" customHeight="1" x14ac:dyDescent="0.3">
      <c r="B11" s="8" t="s">
        <v>126</v>
      </c>
      <c r="C11" s="12">
        <v>5.5E-2</v>
      </c>
      <c r="P11" s="2" t="s">
        <v>127</v>
      </c>
    </row>
    <row r="12" spans="2:16" ht="13.95" customHeight="1" x14ac:dyDescent="0.3">
      <c r="B12" s="8" t="s">
        <v>128</v>
      </c>
      <c r="C12" s="13">
        <v>1.262</v>
      </c>
      <c r="P12" s="2" t="s">
        <v>129</v>
      </c>
    </row>
    <row r="13" spans="2:16" ht="13.95" customHeight="1" x14ac:dyDescent="0.3">
      <c r="B13" s="8" t="s">
        <v>130</v>
      </c>
      <c r="C13" s="10">
        <v>0.04</v>
      </c>
      <c r="P13" s="2" t="s">
        <v>131</v>
      </c>
    </row>
    <row r="15" spans="2:16" ht="13.95" customHeight="1" x14ac:dyDescent="0.3">
      <c r="B15" s="47" t="s">
        <v>132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</row>
    <row r="16" spans="2:16" ht="30" customHeight="1" x14ac:dyDescent="0.3">
      <c r="B16" s="6" t="s">
        <v>133</v>
      </c>
      <c r="C16" s="7" t="s">
        <v>134</v>
      </c>
      <c r="D16" s="7" t="s">
        <v>135</v>
      </c>
      <c r="E16" s="7" t="s">
        <v>136</v>
      </c>
      <c r="F16" s="7" t="s">
        <v>137</v>
      </c>
      <c r="P16" s="7" t="s">
        <v>138</v>
      </c>
    </row>
    <row r="17" spans="2:16" ht="13.95" customHeight="1" x14ac:dyDescent="0.3">
      <c r="B17" s="8" t="s">
        <v>139</v>
      </c>
      <c r="C17" s="14">
        <v>0.872</v>
      </c>
      <c r="D17" s="14">
        <v>1</v>
      </c>
      <c r="E17" s="15">
        <v>1</v>
      </c>
      <c r="F17" s="16">
        <f>IF(E17=1,C17,D17)</f>
        <v>0.872</v>
      </c>
      <c r="P17" s="2" t="s">
        <v>140</v>
      </c>
    </row>
    <row r="18" spans="2:16" ht="13.95" customHeight="1" x14ac:dyDescent="0.3">
      <c r="B18" s="8" t="s">
        <v>141</v>
      </c>
      <c r="C18" s="10">
        <v>4.7E-2</v>
      </c>
      <c r="D18" s="17">
        <f>(1+C8)*(1+C9)-1</f>
        <v>4.0000000000000036E-2</v>
      </c>
      <c r="E18" s="15">
        <v>2</v>
      </c>
      <c r="F18" s="18">
        <f>IF(E18=1,C18,D18)</f>
        <v>4.0000000000000036E-2</v>
      </c>
      <c r="P18" s="2" t="s">
        <v>142</v>
      </c>
    </row>
    <row r="19" spans="2:16" ht="13.95" customHeight="1" x14ac:dyDescent="0.3">
      <c r="B19" s="8" t="s">
        <v>143</v>
      </c>
      <c r="C19" s="19">
        <v>4</v>
      </c>
      <c r="D19" s="19">
        <v>8</v>
      </c>
      <c r="E19" s="15">
        <v>1</v>
      </c>
      <c r="F19" s="20">
        <f>IF(E19=1,C19,D19)</f>
        <v>4</v>
      </c>
      <c r="P19" s="2" t="s">
        <v>144</v>
      </c>
    </row>
    <row r="20" spans="2:16" ht="13.95" customHeight="1" x14ac:dyDescent="0.3">
      <c r="B20" s="8" t="s">
        <v>145</v>
      </c>
      <c r="C20" s="19">
        <v>1</v>
      </c>
      <c r="D20" s="19">
        <v>0</v>
      </c>
      <c r="E20" s="15">
        <v>2</v>
      </c>
      <c r="F20" s="20">
        <f>IF(E20=1,C20,D20)</f>
        <v>0</v>
      </c>
      <c r="P20" s="2" t="s">
        <v>146</v>
      </c>
    </row>
    <row r="22" spans="2:16" ht="13.95" customHeight="1" x14ac:dyDescent="0.3">
      <c r="B22" s="47" t="s">
        <v>147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</row>
    <row r="23" spans="2:16" ht="13.95" customHeight="1" x14ac:dyDescent="0.3">
      <c r="B23" s="6" t="s">
        <v>115</v>
      </c>
      <c r="C23" s="7" t="s">
        <v>148</v>
      </c>
      <c r="D23" s="7" t="s">
        <v>149</v>
      </c>
      <c r="E23" s="7" t="s">
        <v>150</v>
      </c>
      <c r="P23" s="7" t="s">
        <v>151</v>
      </c>
    </row>
    <row r="24" spans="2:16" ht="13.95" customHeight="1" x14ac:dyDescent="0.3">
      <c r="B24" s="8" t="s">
        <v>152</v>
      </c>
      <c r="C24" s="12">
        <v>8.5000000000000006E-2</v>
      </c>
      <c r="D24" s="12">
        <v>6.7599999999999993E-2</v>
      </c>
      <c r="E24" s="12">
        <v>5.5E-2</v>
      </c>
      <c r="P24" s="2" t="s">
        <v>153</v>
      </c>
    </row>
    <row r="25" spans="2:16" ht="13.95" customHeight="1" x14ac:dyDescent="0.3">
      <c r="B25" s="8" t="s">
        <v>154</v>
      </c>
      <c r="C25" s="21">
        <f>(C24+$C$8)*$C$10</f>
        <v>0.10625</v>
      </c>
      <c r="D25" s="21">
        <f>(D24+$C$8)*$C$10</f>
        <v>9.146E-2</v>
      </c>
      <c r="E25" s="21">
        <f>(E24+$C$8)*$C$10</f>
        <v>8.0750000000000002E-2</v>
      </c>
      <c r="P25" s="2" t="s">
        <v>155</v>
      </c>
    </row>
    <row r="26" spans="2:16" ht="13.95" customHeight="1" x14ac:dyDescent="0.3">
      <c r="B26" s="22" t="s">
        <v>156</v>
      </c>
      <c r="C26" s="23">
        <f>C25+$F$17*$C$11</f>
        <v>0.15421000000000001</v>
      </c>
      <c r="D26" s="23">
        <f>D25+$F$17*$C$11</f>
        <v>0.13941999999999999</v>
      </c>
      <c r="E26" s="23">
        <f>E25+$F$17*$C$11</f>
        <v>0.12870999999999999</v>
      </c>
    </row>
    <row r="27" spans="2:16" ht="13.95" customHeight="1" x14ac:dyDescent="0.3">
      <c r="B27" s="8" t="s">
        <v>157</v>
      </c>
      <c r="C27" s="24">
        <f>(C26-g_)*100</f>
        <v>11.420999999999998</v>
      </c>
      <c r="D27" s="24">
        <f>(D26-g_)*100</f>
        <v>9.9419999999999948</v>
      </c>
      <c r="E27" s="24">
        <f>(E26-g_)*100</f>
        <v>8.8709999999999951</v>
      </c>
    </row>
    <row r="29" spans="2:16" ht="13.95" customHeight="1" x14ac:dyDescent="0.3">
      <c r="B29" s="47" t="s">
        <v>158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</row>
    <row r="30" spans="2:16" ht="13.95" customHeight="1" x14ac:dyDescent="0.3">
      <c r="B30" s="6" t="s">
        <v>98</v>
      </c>
      <c r="C30" s="7" t="s">
        <v>159</v>
      </c>
      <c r="D30" s="7" t="s">
        <v>160</v>
      </c>
      <c r="E30" s="7" t="s">
        <v>161</v>
      </c>
      <c r="F30" s="7" t="s">
        <v>162</v>
      </c>
      <c r="G30" s="7" t="s">
        <v>163</v>
      </c>
      <c r="H30" s="7" t="s">
        <v>164</v>
      </c>
      <c r="I30" s="7" t="s">
        <v>165</v>
      </c>
      <c r="J30" s="7" t="s">
        <v>166</v>
      </c>
      <c r="K30" s="7" t="s">
        <v>167</v>
      </c>
      <c r="L30" s="7" t="s">
        <v>67</v>
      </c>
      <c r="M30" s="7" t="s">
        <v>168</v>
      </c>
      <c r="N30" s="7" t="s">
        <v>169</v>
      </c>
      <c r="P30" s="7" t="s">
        <v>170</v>
      </c>
    </row>
    <row r="31" spans="2:16" ht="13.95" customHeight="1" x14ac:dyDescent="0.3">
      <c r="B31" s="8" t="s">
        <v>171</v>
      </c>
      <c r="E31" s="25">
        <f>2028-2027</f>
        <v>1</v>
      </c>
      <c r="F31" s="25">
        <f>2029-2027</f>
        <v>2</v>
      </c>
      <c r="G31" s="25">
        <f>2030-2027</f>
        <v>3</v>
      </c>
      <c r="H31" s="25">
        <f>2031-2027</f>
        <v>4</v>
      </c>
      <c r="I31" s="25">
        <f>2032-2027</f>
        <v>5</v>
      </c>
      <c r="J31" s="25">
        <f>2033-2027</f>
        <v>6</v>
      </c>
      <c r="K31" s="25">
        <f>2034-2027</f>
        <v>7</v>
      </c>
      <c r="L31" s="25">
        <f>2035-2027</f>
        <v>8</v>
      </c>
      <c r="M31" s="25">
        <f>2036-2027</f>
        <v>9</v>
      </c>
      <c r="N31" s="25">
        <f>2037-2027</f>
        <v>10</v>
      </c>
    </row>
    <row r="32" spans="2:16" ht="13.95" customHeight="1" x14ac:dyDescent="0.3">
      <c r="B32" s="8" t="s">
        <v>172</v>
      </c>
      <c r="D32" s="17">
        <f>D34/C34-1</f>
        <v>-9.7309389247977052E-2</v>
      </c>
      <c r="E32" s="17">
        <f>E34/D34-1</f>
        <v>-1.7939156792350364E-2</v>
      </c>
      <c r="F32" s="17">
        <f t="shared" ref="F32:N32" si="0">IF(F31&gt;=NExp,g_,$E$32+(g_-$E$32)*(F31-1)/(NExp-1))</f>
        <v>1.3738954717664349E-3</v>
      </c>
      <c r="G32" s="17">
        <f t="shared" si="0"/>
        <v>2.0686947735883233E-2</v>
      </c>
      <c r="H32" s="17">
        <f t="shared" si="0"/>
        <v>4.0000000000000036E-2</v>
      </c>
      <c r="I32" s="17">
        <f t="shared" si="0"/>
        <v>4.0000000000000036E-2</v>
      </c>
      <c r="J32" s="17">
        <f t="shared" si="0"/>
        <v>4.0000000000000036E-2</v>
      </c>
      <c r="K32" s="17">
        <f t="shared" si="0"/>
        <v>4.0000000000000036E-2</v>
      </c>
      <c r="L32" s="17">
        <f t="shared" si="0"/>
        <v>4.0000000000000036E-2</v>
      </c>
      <c r="M32" s="17">
        <f t="shared" si="0"/>
        <v>4.0000000000000036E-2</v>
      </c>
      <c r="N32" s="17">
        <f t="shared" si="0"/>
        <v>4.0000000000000036E-2</v>
      </c>
      <c r="P32" s="2" t="s">
        <v>173</v>
      </c>
    </row>
    <row r="33" spans="2:16" ht="13.95" customHeight="1" x14ac:dyDescent="0.3">
      <c r="B33" s="8" t="s">
        <v>174</v>
      </c>
      <c r="C33" s="9">
        <f>'Box Consensus'!F43</f>
        <v>78679.534951285706</v>
      </c>
      <c r="D33" s="9">
        <f>'Box Consensus'!G43</f>
        <v>77625.170240160543</v>
      </c>
      <c r="E33" s="9">
        <f>'Box Consensus'!H43</f>
        <v>78048.394917746278</v>
      </c>
      <c r="F33" s="9">
        <f t="shared" ref="F33:N33" si="1">E33*(1+F32)</f>
        <v>78155.625254102401</v>
      </c>
      <c r="G33" s="9">
        <f t="shared" si="1"/>
        <v>79772.426588999297</v>
      </c>
      <c r="H33" s="9">
        <f t="shared" si="1"/>
        <v>82963.323652559266</v>
      </c>
      <c r="I33" s="9">
        <f t="shared" si="1"/>
        <v>86281.856598661645</v>
      </c>
      <c r="J33" s="9">
        <f t="shared" si="1"/>
        <v>89733.130862608115</v>
      </c>
      <c r="K33" s="9">
        <f t="shared" si="1"/>
        <v>93322.456097112445</v>
      </c>
      <c r="L33" s="9">
        <f t="shared" si="1"/>
        <v>97055.354340996942</v>
      </c>
      <c r="M33" s="9">
        <f t="shared" si="1"/>
        <v>100937.56851463682</v>
      </c>
      <c r="N33" s="9">
        <f t="shared" si="1"/>
        <v>104975.0712552223</v>
      </c>
      <c r="P33" s="2" t="s">
        <v>175</v>
      </c>
    </row>
    <row r="34" spans="2:16" ht="13.95" customHeight="1" x14ac:dyDescent="0.3">
      <c r="B34" s="22" t="s">
        <v>176</v>
      </c>
      <c r="C34" s="26">
        <f>'Box Consensus'!O43</f>
        <v>10671.972549948501</v>
      </c>
      <c r="D34" s="26">
        <f>'Box Consensus'!P43</f>
        <v>9633.4894190418363</v>
      </c>
      <c r="E34" s="26">
        <f>'Box Consensus'!Q43</f>
        <v>9460.6727418961964</v>
      </c>
      <c r="F34" s="26">
        <f t="shared" ref="F34:N34" si="2">E34*(1+F32)</f>
        <v>9473.6707173361501</v>
      </c>
      <c r="G34" s="26">
        <f t="shared" si="2"/>
        <v>9669.6520483326512</v>
      </c>
      <c r="H34" s="26">
        <f t="shared" si="2"/>
        <v>10056.438130265959</v>
      </c>
      <c r="I34" s="26">
        <f t="shared" si="2"/>
        <v>10458.695655476597</v>
      </c>
      <c r="J34" s="26">
        <f t="shared" si="2"/>
        <v>10877.04348169566</v>
      </c>
      <c r="K34" s="26">
        <f t="shared" si="2"/>
        <v>11312.125220963488</v>
      </c>
      <c r="L34" s="26">
        <f t="shared" si="2"/>
        <v>11764.610229802027</v>
      </c>
      <c r="M34" s="26">
        <f t="shared" si="2"/>
        <v>12235.194638994108</v>
      </c>
      <c r="N34" s="26">
        <f t="shared" si="2"/>
        <v>12724.602424553872</v>
      </c>
      <c r="P34" s="2" t="s">
        <v>177</v>
      </c>
    </row>
    <row r="35" spans="2:16" ht="13.95" customHeight="1" x14ac:dyDescent="0.3">
      <c r="B35" s="8" t="s">
        <v>178</v>
      </c>
      <c r="C35" s="9">
        <f>'Box Consensus'!I43-'Box Consensus'!L43</f>
        <v>7703.2767689088214</v>
      </c>
      <c r="D35" s="9">
        <f>'Box Consensus'!J43-'Box Consensus'!M43</f>
        <v>7928.4255910564843</v>
      </c>
      <c r="E35" s="9">
        <f>'Box Consensus'!K43-'Box Consensus'!N43</f>
        <v>8046.0095263009989</v>
      </c>
      <c r="F35" s="9">
        <f t="shared" ref="F35:N35" si="3">E35*(1+F32)</f>
        <v>8057.0639023549729</v>
      </c>
      <c r="G35" s="9">
        <f t="shared" si="3"/>
        <v>8223.7399622076628</v>
      </c>
      <c r="H35" s="9">
        <f t="shared" si="3"/>
        <v>8552.6895606959697</v>
      </c>
      <c r="I35" s="9">
        <f t="shared" si="3"/>
        <v>8894.7971431238093</v>
      </c>
      <c r="J35" s="9">
        <f t="shared" si="3"/>
        <v>9250.5890288487626</v>
      </c>
      <c r="K35" s="9">
        <f t="shared" si="3"/>
        <v>9620.6125900027127</v>
      </c>
      <c r="L35" s="9">
        <f t="shared" si="3"/>
        <v>10005.437093602821</v>
      </c>
      <c r="M35" s="9">
        <f t="shared" si="3"/>
        <v>10405.654577346933</v>
      </c>
      <c r="N35" s="9">
        <f t="shared" si="3"/>
        <v>10821.88076044081</v>
      </c>
      <c r="P35" s="2" t="s">
        <v>179</v>
      </c>
    </row>
    <row r="36" spans="2:16" ht="13.95" customHeight="1" x14ac:dyDescent="0.3">
      <c r="B36" s="8" t="s">
        <v>180</v>
      </c>
      <c r="C36" s="9">
        <f>'Box Consensus'!R43</f>
        <v>-8024.7998532141501</v>
      </c>
      <c r="D36" s="9">
        <f>'Box Consensus'!S43</f>
        <v>-7975.8576569831957</v>
      </c>
      <c r="E36" s="9">
        <f>'Box Consensus'!T43</f>
        <v>-8197.8555884103225</v>
      </c>
      <c r="F36" s="9">
        <f t="shared" ref="F36:N36" si="4">E36*(1+F32)</f>
        <v>-8209.1185850814345</v>
      </c>
      <c r="G36" s="9">
        <f t="shared" si="4"/>
        <v>-8378.9401922086818</v>
      </c>
      <c r="H36" s="9">
        <f t="shared" si="4"/>
        <v>-8714.0977998970302</v>
      </c>
      <c r="I36" s="9">
        <f t="shared" si="4"/>
        <v>-9062.6617118929116</v>
      </c>
      <c r="J36" s="9">
        <f t="shared" si="4"/>
        <v>-9425.1681803686279</v>
      </c>
      <c r="K36" s="9">
        <f t="shared" si="4"/>
        <v>-9802.1749075833741</v>
      </c>
      <c r="L36" s="9">
        <f t="shared" si="4"/>
        <v>-10194.261903886709</v>
      </c>
      <c r="M36" s="9">
        <f t="shared" si="4"/>
        <v>-10602.032380042177</v>
      </c>
      <c r="N36" s="9">
        <f t="shared" si="4"/>
        <v>-11026.113675243865</v>
      </c>
      <c r="P36" s="2" t="s">
        <v>181</v>
      </c>
    </row>
    <row r="37" spans="2:16" ht="13.95" customHeight="1" x14ac:dyDescent="0.3">
      <c r="B37" s="8" t="s">
        <v>182</v>
      </c>
      <c r="C37" s="9">
        <f>'Box Consensus'!U43</f>
        <v>-1476.0179954749483</v>
      </c>
      <c r="D37" s="9">
        <f>'Box Consensus'!V43</f>
        <v>-1489.2378756583673</v>
      </c>
      <c r="E37" s="9">
        <f>'Box Consensus'!W43</f>
        <v>-1558.2828706711327</v>
      </c>
      <c r="F37" s="9">
        <f t="shared" ref="F37:N37" si="5">E37*(1+F32)</f>
        <v>-1560.4237884508789</v>
      </c>
      <c r="G37" s="9">
        <f t="shared" si="5"/>
        <v>-1592.7041938083912</v>
      </c>
      <c r="H37" s="9">
        <f t="shared" si="5"/>
        <v>-1656.4123615607268</v>
      </c>
      <c r="I37" s="9">
        <f t="shared" si="5"/>
        <v>-1722.668856023156</v>
      </c>
      <c r="J37" s="9">
        <f t="shared" si="5"/>
        <v>-1791.5756102640823</v>
      </c>
      <c r="K37" s="9">
        <f t="shared" si="5"/>
        <v>-1863.2386346746457</v>
      </c>
      <c r="L37" s="9">
        <f t="shared" si="5"/>
        <v>-1937.7681800616317</v>
      </c>
      <c r="M37" s="9">
        <f t="shared" si="5"/>
        <v>-2015.2789072640971</v>
      </c>
      <c r="N37" s="9">
        <f t="shared" si="5"/>
        <v>-2095.8900635546611</v>
      </c>
      <c r="P37" s="2" t="s">
        <v>183</v>
      </c>
    </row>
    <row r="38" spans="2:16" ht="13.95" customHeight="1" x14ac:dyDescent="0.3">
      <c r="B38" s="8" t="s">
        <v>184</v>
      </c>
      <c r="D38" s="9">
        <f t="shared" ref="D38:N38" si="6">-$C$13*(D33-C33)</f>
        <v>42.17458844500652</v>
      </c>
      <c r="E38" s="9">
        <f t="shared" si="6"/>
        <v>-16.928987103429389</v>
      </c>
      <c r="F38" s="9">
        <f t="shared" si="6"/>
        <v>-4.2892134542448916</v>
      </c>
      <c r="G38" s="9">
        <f t="shared" si="6"/>
        <v>-64.672053395875849</v>
      </c>
      <c r="H38" s="9">
        <f t="shared" si="6"/>
        <v>-127.63588254239876</v>
      </c>
      <c r="I38" s="9">
        <f t="shared" si="6"/>
        <v>-132.74131784409516</v>
      </c>
      <c r="J38" s="9">
        <f t="shared" si="6"/>
        <v>-138.05097055785882</v>
      </c>
      <c r="K38" s="9">
        <f t="shared" si="6"/>
        <v>-143.57300938017318</v>
      </c>
      <c r="L38" s="9">
        <f t="shared" si="6"/>
        <v>-149.31592975537993</v>
      </c>
      <c r="M38" s="9">
        <f t="shared" si="6"/>
        <v>-155.28856694559508</v>
      </c>
      <c r="N38" s="9">
        <f t="shared" si="6"/>
        <v>-161.50010962341912</v>
      </c>
    </row>
    <row r="39" spans="2:16" ht="13.95" customHeight="1" x14ac:dyDescent="0.3">
      <c r="B39" s="22" t="s">
        <v>185</v>
      </c>
      <c r="D39" s="26">
        <f t="shared" ref="D39:N39" si="7">D34+D35+D36+D37+D38</f>
        <v>8138.994065901763</v>
      </c>
      <c r="E39" s="26">
        <f t="shared" si="7"/>
        <v>7733.6148220123123</v>
      </c>
      <c r="F39" s="26">
        <f t="shared" si="7"/>
        <v>7756.9030327045657</v>
      </c>
      <c r="G39" s="26">
        <f t="shared" si="7"/>
        <v>7857.0755711273669</v>
      </c>
      <c r="H39" s="26">
        <f t="shared" si="7"/>
        <v>8110.9816469617699</v>
      </c>
      <c r="I39" s="26">
        <f t="shared" si="7"/>
        <v>8435.4209128402417</v>
      </c>
      <c r="J39" s="26">
        <f t="shared" si="7"/>
        <v>8772.8377493538537</v>
      </c>
      <c r="K39" s="26">
        <f t="shared" si="7"/>
        <v>9123.751259328008</v>
      </c>
      <c r="L39" s="26">
        <f t="shared" si="7"/>
        <v>9488.7013097011277</v>
      </c>
      <c r="M39" s="26">
        <f t="shared" si="7"/>
        <v>9868.249362089171</v>
      </c>
      <c r="N39" s="26">
        <f t="shared" si="7"/>
        <v>10262.979336572736</v>
      </c>
      <c r="P39" s="2" t="s">
        <v>186</v>
      </c>
    </row>
    <row r="40" spans="2:16" ht="13.95" customHeight="1" x14ac:dyDescent="0.3">
      <c r="B40" s="8" t="s">
        <v>187</v>
      </c>
      <c r="D40" s="17">
        <f t="shared" ref="D40:N40" si="8">D39/D34</f>
        <v>0.84486458767619443</v>
      </c>
      <c r="E40" s="17">
        <f t="shared" si="8"/>
        <v>0.81744871987425594</v>
      </c>
      <c r="F40" s="17">
        <f t="shared" si="8"/>
        <v>0.81878537518830785</v>
      </c>
      <c r="G40" s="17">
        <f t="shared" si="8"/>
        <v>0.81254997923965333</v>
      </c>
      <c r="H40" s="17">
        <f t="shared" si="8"/>
        <v>0.80654616892146702</v>
      </c>
      <c r="I40" s="17">
        <f t="shared" si="8"/>
        <v>0.80654616892146713</v>
      </c>
      <c r="J40" s="17">
        <f t="shared" si="8"/>
        <v>0.80654616892146735</v>
      </c>
      <c r="K40" s="17">
        <f t="shared" si="8"/>
        <v>0.80654616892146735</v>
      </c>
      <c r="L40" s="17">
        <f t="shared" si="8"/>
        <v>0.80654616892146724</v>
      </c>
      <c r="M40" s="17">
        <f t="shared" si="8"/>
        <v>0.80654616892146713</v>
      </c>
      <c r="N40" s="17">
        <f t="shared" si="8"/>
        <v>0.80654616892146702</v>
      </c>
    </row>
    <row r="41" spans="2:16" ht="13.95" customHeight="1" x14ac:dyDescent="0.3">
      <c r="B41" s="8" t="s">
        <v>188</v>
      </c>
      <c r="C41" s="27">
        <f t="shared" ref="C41:N41" si="9">-C36/C35</f>
        <v>1.0417384827198508</v>
      </c>
      <c r="D41" s="27">
        <f t="shared" si="9"/>
        <v>1.0059825327717291</v>
      </c>
      <c r="E41" s="27">
        <f t="shared" si="9"/>
        <v>1.0188722200257117</v>
      </c>
      <c r="F41" s="27">
        <f t="shared" si="9"/>
        <v>1.0188722200257117</v>
      </c>
      <c r="G41" s="27">
        <f t="shared" si="9"/>
        <v>1.0188722200257114</v>
      </c>
      <c r="H41" s="27">
        <f t="shared" si="9"/>
        <v>1.0188722200257114</v>
      </c>
      <c r="I41" s="27">
        <f t="shared" si="9"/>
        <v>1.0188722200257114</v>
      </c>
      <c r="J41" s="27">
        <f t="shared" si="9"/>
        <v>1.0188722200257114</v>
      </c>
      <c r="K41" s="27">
        <f t="shared" si="9"/>
        <v>1.0188722200257114</v>
      </c>
      <c r="L41" s="27">
        <f t="shared" si="9"/>
        <v>1.0188722200257114</v>
      </c>
      <c r="M41" s="27">
        <f t="shared" si="9"/>
        <v>1.0188722200257117</v>
      </c>
      <c r="N41" s="27">
        <f t="shared" si="9"/>
        <v>1.0188722200257117</v>
      </c>
    </row>
    <row r="43" spans="2:16" ht="13.95" customHeight="1" x14ac:dyDescent="0.3">
      <c r="B43" s="47" t="s">
        <v>189</v>
      </c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</row>
    <row r="44" spans="2:16" ht="13.95" customHeight="1" x14ac:dyDescent="0.3">
      <c r="B44" s="6" t="s">
        <v>115</v>
      </c>
      <c r="C44" s="7" t="s">
        <v>148</v>
      </c>
      <c r="D44" s="7" t="s">
        <v>149</v>
      </c>
      <c r="E44" s="7" t="s">
        <v>150</v>
      </c>
      <c r="P44" s="7" t="s">
        <v>151</v>
      </c>
    </row>
    <row r="45" spans="2:16" ht="13.95" customHeight="1" x14ac:dyDescent="0.3">
      <c r="B45" s="8" t="s">
        <v>190</v>
      </c>
      <c r="C45" s="21">
        <f>C26</f>
        <v>0.15421000000000001</v>
      </c>
      <c r="D45" s="21">
        <f>D26</f>
        <v>0.13941999999999999</v>
      </c>
      <c r="E45" s="21">
        <f>E26</f>
        <v>0.12870999999999999</v>
      </c>
    </row>
    <row r="46" spans="2:16" ht="13.95" customHeight="1" x14ac:dyDescent="0.3">
      <c r="B46" s="8" t="s">
        <v>191</v>
      </c>
      <c r="C46" s="28">
        <v>-0.1</v>
      </c>
      <c r="D46" s="28">
        <v>0</v>
      </c>
      <c r="E46" s="28">
        <v>0.1</v>
      </c>
      <c r="P46" s="2" t="s">
        <v>192</v>
      </c>
    </row>
    <row r="47" spans="2:16" ht="13.95" customHeight="1" x14ac:dyDescent="0.3">
      <c r="B47" s="8" t="s">
        <v>193</v>
      </c>
      <c r="C47" s="29">
        <f>$C$12*C46</f>
        <v>-0.12620000000000001</v>
      </c>
      <c r="D47" s="29">
        <f>$C$12*D46</f>
        <v>0</v>
      </c>
      <c r="E47" s="29">
        <f>$C$12*E46</f>
        <v>0.12620000000000001</v>
      </c>
      <c r="P47" s="2" t="s">
        <v>194</v>
      </c>
    </row>
    <row r="48" spans="2:16" ht="13.95" customHeight="1" x14ac:dyDescent="0.3">
      <c r="B48" s="8" t="s">
        <v>195</v>
      </c>
      <c r="C48" s="9">
        <f>SUMPRODUCT($E$39:$N$39,--($E$31:$N$31&lt;=NExp),1/(1+C45)^$E$31:$N$31)+C47*SUMPRODUCT($E$34:$N$34,--($E$31:$N$31&lt;=NExp),1/(1+C45)^$E$31:$N$31)</f>
        <v>18762.408844719957</v>
      </c>
      <c r="D48" s="9">
        <f>SUMPRODUCT($E$39:$N$39,--($E$31:$N$31&lt;=NExp),1/(1+D45)^$E$31:$N$31)+D47*SUMPRODUCT($E$34:$N$34,--($E$31:$N$31&lt;=NExp),1/(1+D45)^$E$31:$N$31)</f>
        <v>22885.631777263279</v>
      </c>
      <c r="E48" s="9">
        <f>SUMPRODUCT($E$39:$N$39,--($E$31:$N$31&lt;=NExp),1/(1+E45)^$E$31:$N$31)+E47*SUMPRODUCT($E$34:$N$34,--($E$31:$N$31&lt;=NExp),1/(1+E45)^$E$31:$N$31)</f>
        <v>27028.675494997795</v>
      </c>
      <c r="P48" s="2" t="s">
        <v>196</v>
      </c>
    </row>
    <row r="49" spans="2:16" ht="13.95" customHeight="1" x14ac:dyDescent="0.3">
      <c r="B49" s="8" t="s">
        <v>197</v>
      </c>
      <c r="C49" s="9">
        <f>(INDEX($E$39:$N$39,NExp)+C47*INDEX($E$34:$N$34,NExp))*(1+g_)/(C45-g_)</f>
        <v>62302.193512994447</v>
      </c>
      <c r="D49" s="9">
        <f>(INDEX($E$39:$N$39,NExp)+D47*INDEX($E$34:$N$34,NExp))*(1+g_)/(D45-g_)</f>
        <v>84846.317771477028</v>
      </c>
      <c r="E49" s="9">
        <f>(INDEX($E$39:$N$39,NExp)+E47*INDEX($E$34:$N$34,NExp))*(1+g_)/(E45-g_)</f>
        <v>109968.53009312808</v>
      </c>
      <c r="P49" s="2" t="s">
        <v>198</v>
      </c>
    </row>
    <row r="50" spans="2:16" ht="13.95" customHeight="1" x14ac:dyDescent="0.3">
      <c r="B50" s="8" t="s">
        <v>199</v>
      </c>
      <c r="C50" s="9">
        <f>C49/(1+C45)^(NExp+TVx)</f>
        <v>35104.598208481424</v>
      </c>
      <c r="D50" s="9">
        <f>D49/(1+D45)^(NExp+TVx)</f>
        <v>50338.195850764037</v>
      </c>
      <c r="E50" s="9">
        <f>E49/(1+E45)^(NExp+TVx)</f>
        <v>67754.622352454156</v>
      </c>
    </row>
    <row r="51" spans="2:16" ht="13.95" customHeight="1" x14ac:dyDescent="0.3">
      <c r="B51" s="22" t="s">
        <v>200</v>
      </c>
      <c r="C51" s="26">
        <f>C48+C50</f>
        <v>53867.007053201378</v>
      </c>
      <c r="D51" s="26">
        <f>D48+D50</f>
        <v>73223.827628027313</v>
      </c>
      <c r="E51" s="26">
        <f>E48+E50</f>
        <v>94783.297847451948</v>
      </c>
    </row>
    <row r="52" spans="2:16" ht="13.95" customHeight="1" x14ac:dyDescent="0.3">
      <c r="B52" s="22" t="s">
        <v>201</v>
      </c>
      <c r="C52" s="30">
        <f>C51/$C$7-1</f>
        <v>-0.17648616632488834</v>
      </c>
      <c r="D52" s="30">
        <f>D51/$C$7-1</f>
        <v>0.11943912062473827</v>
      </c>
      <c r="E52" s="30">
        <f>E51/$C$7-1</f>
        <v>0.44903831210882528</v>
      </c>
    </row>
    <row r="53" spans="2:16" ht="13.95" customHeight="1" x14ac:dyDescent="0.3">
      <c r="B53" s="8" t="s">
        <v>202</v>
      </c>
      <c r="C53" s="17">
        <f>C50/C51</f>
        <v>0.65169015560509258</v>
      </c>
      <c r="D53" s="17">
        <f>D50/D51</f>
        <v>0.68745649444166013</v>
      </c>
      <c r="E53" s="17">
        <f>E50/E51</f>
        <v>0.71483714843411728</v>
      </c>
    </row>
    <row r="54" spans="2:16" ht="13.95" customHeight="1" x14ac:dyDescent="0.3">
      <c r="B54" s="8" t="s">
        <v>203</v>
      </c>
      <c r="C54" s="31">
        <v>-0.1</v>
      </c>
      <c r="D54" s="31">
        <v>0.5</v>
      </c>
      <c r="E54" s="31">
        <v>1.28</v>
      </c>
      <c r="P54" s="2" t="s">
        <v>204</v>
      </c>
    </row>
    <row r="55" spans="2:16" ht="13.95" customHeight="1" x14ac:dyDescent="0.3">
      <c r="B55" s="8" t="s">
        <v>205</v>
      </c>
      <c r="C55" s="31">
        <v>-0.17</v>
      </c>
      <c r="D55" s="31">
        <v>0.17</v>
      </c>
      <c r="E55" s="31">
        <v>0.55000000000000004</v>
      </c>
      <c r="P55" s="2" t="s">
        <v>206</v>
      </c>
    </row>
    <row r="57" spans="2:16" ht="13.95" customHeight="1" x14ac:dyDescent="0.3">
      <c r="B57" s="47" t="s">
        <v>207</v>
      </c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</row>
    <row r="58" spans="2:16" ht="13.95" customHeight="1" x14ac:dyDescent="0.3">
      <c r="B58" s="6" t="s">
        <v>208</v>
      </c>
      <c r="C58" s="32">
        <v>-0.02</v>
      </c>
      <c r="D58" s="32">
        <v>-0.01</v>
      </c>
      <c r="E58" s="32">
        <v>0</v>
      </c>
      <c r="F58" s="32">
        <v>0.01</v>
      </c>
      <c r="G58" s="32">
        <v>0.02</v>
      </c>
    </row>
    <row r="59" spans="2:16" ht="13.95" customHeight="1" x14ac:dyDescent="0.3">
      <c r="B59" s="33">
        <v>0.12</v>
      </c>
      <c r="C59" s="34">
        <f t="shared" ref="C59:G64" si="10">(SUMPRODUCT($E$39:$N$39,--($E$31:$N$31&lt;=NExp),1/(1+$B59)^$E$31:$N$31)+INDEX($E$39:$N$39,NExp)*(1+((1+$C$8)*(1+C$58)-1))/($B59-((1+$C$8)*(1+C$58)-1))/(1+$B59)^(NExp+TVx))/$C$7-1</f>
        <v>0.16119994090170486</v>
      </c>
      <c r="D59" s="34">
        <f t="shared" si="10"/>
        <v>0.26193294373037723</v>
      </c>
      <c r="E59" s="34">
        <f t="shared" si="10"/>
        <v>0.38885652729450415</v>
      </c>
      <c r="F59" s="34">
        <f t="shared" si="10"/>
        <v>0.55371129675135844</v>
      </c>
      <c r="G59" s="34">
        <f t="shared" si="10"/>
        <v>0.77648801223359376</v>
      </c>
    </row>
    <row r="60" spans="2:16" ht="13.95" customHeight="1" x14ac:dyDescent="0.3">
      <c r="B60" s="33">
        <v>0.13</v>
      </c>
      <c r="C60" s="34">
        <f t="shared" si="10"/>
        <v>5.6363184585913606E-2</v>
      </c>
      <c r="D60" s="34">
        <f t="shared" si="10"/>
        <v>0.13670580776675911</v>
      </c>
      <c r="E60" s="34">
        <f t="shared" si="10"/>
        <v>0.23561650386051136</v>
      </c>
      <c r="F60" s="34">
        <f t="shared" si="10"/>
        <v>0.36037321099383646</v>
      </c>
      <c r="G60" s="34">
        <f t="shared" si="10"/>
        <v>0.52262904397070442</v>
      </c>
    </row>
    <row r="61" spans="2:16" ht="13.95" customHeight="1" x14ac:dyDescent="0.3">
      <c r="B61" s="33">
        <v>0.1394</v>
      </c>
      <c r="C61" s="34">
        <f t="shared" si="10"/>
        <v>-2.6274486947584497E-2</v>
      </c>
      <c r="D61" s="34">
        <f t="shared" si="10"/>
        <v>3.9782590873931323E-2</v>
      </c>
      <c r="E61" s="34">
        <f t="shared" si="10"/>
        <v>0.11966247773656957</v>
      </c>
      <c r="F61" s="34">
        <f t="shared" si="10"/>
        <v>0.21821092242777906</v>
      </c>
      <c r="G61" s="34">
        <f t="shared" si="10"/>
        <v>0.34283834484897802</v>
      </c>
    </row>
    <row r="62" spans="2:16" ht="13.95" customHeight="1" x14ac:dyDescent="0.3">
      <c r="B62" s="33">
        <v>0.15</v>
      </c>
      <c r="C62" s="34">
        <f t="shared" si="10"/>
        <v>-0.10520912444805663</v>
      </c>
      <c r="D62" s="34">
        <f t="shared" si="10"/>
        <v>-5.136639604900084E-2</v>
      </c>
      <c r="E62" s="34">
        <f t="shared" si="10"/>
        <v>1.2657502810967447E-2</v>
      </c>
      <c r="F62" s="34">
        <f t="shared" si="10"/>
        <v>9.0051854444904711E-2</v>
      </c>
      <c r="G62" s="34">
        <f t="shared" si="10"/>
        <v>0.18549331946433423</v>
      </c>
    </row>
    <row r="63" spans="2:16" ht="13.95" customHeight="1" x14ac:dyDescent="0.3">
      <c r="B63" s="33">
        <v>0.16</v>
      </c>
      <c r="C63" s="34">
        <f t="shared" si="10"/>
        <v>-0.16877761801912761</v>
      </c>
      <c r="D63" s="34">
        <f t="shared" si="10"/>
        <v>-0.12377885276646294</v>
      </c>
      <c r="E63" s="34">
        <f t="shared" si="10"/>
        <v>-7.0980301536669788E-2</v>
      </c>
      <c r="F63" s="34">
        <f t="shared" si="10"/>
        <v>-8.1615872997625738E-3</v>
      </c>
      <c r="G63" s="34">
        <f t="shared" si="10"/>
        <v>6.7828792825528339E-2</v>
      </c>
    </row>
    <row r="64" spans="2:16" ht="13.95" customHeight="1" x14ac:dyDescent="0.3">
      <c r="B64" s="33">
        <v>0.17</v>
      </c>
      <c r="C64" s="34">
        <f t="shared" si="10"/>
        <v>-0.2239125716618835</v>
      </c>
      <c r="D64" s="34">
        <f t="shared" si="10"/>
        <v>-0.18588235703514022</v>
      </c>
      <c r="E64" s="34">
        <f t="shared" si="10"/>
        <v>-0.14176730806811788</v>
      </c>
      <c r="F64" s="34">
        <f t="shared" si="10"/>
        <v>-8.9980076672048548E-2</v>
      </c>
      <c r="G64" s="34">
        <f t="shared" si="10"/>
        <v>-2.8328610724346781E-2</v>
      </c>
    </row>
    <row r="66" spans="2:16" ht="13.95" customHeight="1" x14ac:dyDescent="0.3">
      <c r="B66" s="2" t="s">
        <v>209</v>
      </c>
    </row>
    <row r="68" spans="2:16" ht="13.95" customHeight="1" x14ac:dyDescent="0.3">
      <c r="B68" s="47" t="s">
        <v>210</v>
      </c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</row>
    <row r="69" spans="2:16" ht="13.95" customHeight="1" x14ac:dyDescent="0.3">
      <c r="B69" s="35" t="s">
        <v>211</v>
      </c>
      <c r="P69" s="2" t="s">
        <v>212</v>
      </c>
    </row>
    <row r="70" spans="2:16" ht="13.95" customHeight="1" x14ac:dyDescent="0.3">
      <c r="B70" s="35" t="s">
        <v>213</v>
      </c>
      <c r="P70" s="2" t="s">
        <v>214</v>
      </c>
    </row>
    <row r="71" spans="2:16" ht="13.95" customHeight="1" x14ac:dyDescent="0.3">
      <c r="B71" s="35" t="s">
        <v>215</v>
      </c>
      <c r="P71" s="2" t="s">
        <v>216</v>
      </c>
    </row>
    <row r="72" spans="2:16" ht="13.95" customHeight="1" x14ac:dyDescent="0.3">
      <c r="B72" s="35" t="s">
        <v>217</v>
      </c>
      <c r="P72" s="2" t="s">
        <v>218</v>
      </c>
    </row>
    <row r="73" spans="2:16" ht="13.95" customHeight="1" x14ac:dyDescent="0.3">
      <c r="B73" s="35" t="s">
        <v>219</v>
      </c>
      <c r="P73" s="2" t="s">
        <v>220</v>
      </c>
    </row>
    <row r="74" spans="2:16" ht="13.95" customHeight="1" x14ac:dyDescent="0.3">
      <c r="B74" s="35" t="s">
        <v>221</v>
      </c>
      <c r="P74" s="2" t="s">
        <v>222</v>
      </c>
    </row>
    <row r="75" spans="2:16" ht="13.95" customHeight="1" x14ac:dyDescent="0.3">
      <c r="B75" s="35" t="s">
        <v>223</v>
      </c>
      <c r="P75" s="2" t="s">
        <v>224</v>
      </c>
    </row>
    <row r="76" spans="2:16" ht="13.95" customHeight="1" x14ac:dyDescent="0.3">
      <c r="B76" s="35" t="s">
        <v>225</v>
      </c>
      <c r="P76" s="2" t="s">
        <v>226</v>
      </c>
    </row>
    <row r="77" spans="2:16" ht="13.95" customHeight="1" x14ac:dyDescent="0.3">
      <c r="B77" s="35" t="s">
        <v>227</v>
      </c>
      <c r="P77" s="2" t="s">
        <v>134</v>
      </c>
    </row>
  </sheetData>
  <mergeCells count="7">
    <mergeCell ref="B57:P57"/>
    <mergeCell ref="B68:P68"/>
    <mergeCell ref="B5:P5"/>
    <mergeCell ref="B15:P15"/>
    <mergeCell ref="B22:P22"/>
    <mergeCell ref="B29:P29"/>
    <mergeCell ref="B43:P43"/>
  </mergeCells>
  <conditionalFormatting sqref="C59:G64">
    <cfRule type="colorScale" priority="2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E31:N31">
    <cfRule type="expression" dxfId="0" priority="1">
      <formula>E$31&gt;NExp</formula>
    </cfRule>
  </conditionalFormatting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W48"/>
  <sheetViews>
    <sheetView showGridLines="0" zoomScale="85" zoomScaleNormal="85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3.95" customHeight="1" x14ac:dyDescent="0.3"/>
  <cols>
    <col min="1" max="1" width="2.6640625" customWidth="1"/>
    <col min="2" max="2" width="30.6640625" customWidth="1"/>
    <col min="3" max="23" width="10.33203125" customWidth="1"/>
  </cols>
  <sheetData>
    <row r="1" spans="2:23" ht="30" customHeight="1" x14ac:dyDescent="0.3">
      <c r="B1" s="1" t="s">
        <v>0</v>
      </c>
    </row>
    <row r="2" spans="2:23" ht="13.95" customHeight="1" x14ac:dyDescent="0.3">
      <c r="B2" s="2" t="s">
        <v>1</v>
      </c>
    </row>
    <row r="3" spans="2:23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23" ht="13.95" customHeight="1" x14ac:dyDescent="0.3">
      <c r="B5" s="35" t="s">
        <v>6</v>
      </c>
      <c r="C5" s="11">
        <v>5.15</v>
      </c>
      <c r="D5" s="2" t="s">
        <v>7</v>
      </c>
    </row>
    <row r="7" spans="2:23" ht="13.95" customHeight="1" x14ac:dyDescent="0.3">
      <c r="B7" s="47" t="s">
        <v>8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</row>
    <row r="8" spans="2:23" ht="30" customHeight="1" x14ac:dyDescent="0.3">
      <c r="B8" s="6" t="s">
        <v>9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  <c r="O8" s="7" t="s">
        <v>22</v>
      </c>
      <c r="P8" s="7" t="s">
        <v>23</v>
      </c>
      <c r="Q8" s="7" t="s">
        <v>24</v>
      </c>
      <c r="R8" s="7" t="s">
        <v>25</v>
      </c>
      <c r="S8" s="7" t="s">
        <v>26</v>
      </c>
      <c r="T8" s="7" t="s">
        <v>27</v>
      </c>
      <c r="U8" s="7" t="s">
        <v>28</v>
      </c>
      <c r="V8" s="7" t="s">
        <v>29</v>
      </c>
      <c r="W8" s="7" t="s">
        <v>30</v>
      </c>
    </row>
    <row r="9" spans="2:23" ht="43.95" customHeight="1" x14ac:dyDescent="0.3">
      <c r="B9" s="35" t="s">
        <v>31</v>
      </c>
      <c r="C9" s="36">
        <v>18861.588447163969</v>
      </c>
      <c r="D9" s="37">
        <v>292583.69298124989</v>
      </c>
      <c r="E9" s="38">
        <f t="shared" ref="E9:E23" si="0">C9/D9</f>
        <v>6.446561752972578E-2</v>
      </c>
      <c r="F9" s="37">
        <v>210241.45454545459</v>
      </c>
      <c r="G9" s="37">
        <v>211218.5</v>
      </c>
      <c r="H9" s="37">
        <v>216317.90476190479</v>
      </c>
      <c r="I9" s="37">
        <v>80791.272727272721</v>
      </c>
      <c r="J9" s="37">
        <v>82896.954545454544</v>
      </c>
      <c r="K9" s="37">
        <v>85768.380952380947</v>
      </c>
      <c r="L9" s="37">
        <v>53667.86363636364</v>
      </c>
      <c r="M9" s="37">
        <v>58140.090909090912</v>
      </c>
      <c r="N9" s="37">
        <v>61076.904761904763</v>
      </c>
      <c r="O9" s="37">
        <v>37349.381000000001</v>
      </c>
      <c r="P9" s="37">
        <v>38936.048000000003</v>
      </c>
      <c r="Q9" s="37">
        <v>39670.894999999997</v>
      </c>
      <c r="R9" s="37">
        <v>-28356.611111111109</v>
      </c>
      <c r="S9" s="37">
        <v>-29763</v>
      </c>
      <c r="T9" s="37">
        <v>-29912.555555555558</v>
      </c>
      <c r="U9" s="39">
        <v>0</v>
      </c>
      <c r="V9" s="39">
        <v>0</v>
      </c>
      <c r="W9" s="39">
        <v>0</v>
      </c>
    </row>
    <row r="10" spans="2:23" ht="13.95" customHeight="1" x14ac:dyDescent="0.3">
      <c r="B10" s="35" t="s">
        <v>32</v>
      </c>
      <c r="C10" s="36">
        <v>28130.206887498189</v>
      </c>
      <c r="D10" s="37">
        <v>742814.41441016982</v>
      </c>
      <c r="E10" s="38">
        <f t="shared" si="0"/>
        <v>3.7869764428083853E-2</v>
      </c>
      <c r="F10" s="37">
        <v>603798.14285714284</v>
      </c>
      <c r="G10" s="37">
        <v>576794.64285714284</v>
      </c>
      <c r="H10" s="37">
        <v>560041.4615384615</v>
      </c>
      <c r="I10" s="37">
        <v>324852.5</v>
      </c>
      <c r="J10" s="37">
        <v>306271.1428571429</v>
      </c>
      <c r="K10" s="37">
        <v>292163</v>
      </c>
      <c r="L10" s="37">
        <v>226311.33333333331</v>
      </c>
      <c r="M10" s="37">
        <v>197993.5</v>
      </c>
      <c r="N10" s="37">
        <v>181539.63636363641</v>
      </c>
      <c r="O10" s="37">
        <v>159783.85699999999</v>
      </c>
      <c r="P10" s="37">
        <v>134066.28599999999</v>
      </c>
      <c r="Q10" s="37">
        <v>123997.15399999999</v>
      </c>
      <c r="R10" s="37">
        <v>-96257.714285714275</v>
      </c>
      <c r="S10" s="37">
        <v>-102580.7142857143</v>
      </c>
      <c r="T10" s="37">
        <v>-103080.7142857143</v>
      </c>
      <c r="U10" s="40">
        <f>PETRFX*-7323</f>
        <v>-37713.450000000004</v>
      </c>
      <c r="V10" s="40">
        <f>PETRFX*-7403</f>
        <v>-38125.450000000004</v>
      </c>
      <c r="W10" s="40">
        <f>PETRFX*-7766</f>
        <v>-39994.9</v>
      </c>
    </row>
    <row r="11" spans="2:23" ht="13.95" customHeight="1" x14ac:dyDescent="0.3">
      <c r="B11" s="35" t="s">
        <v>33</v>
      </c>
      <c r="C11" s="36">
        <v>3466.2926876420952</v>
      </c>
      <c r="D11" s="37">
        <v>54626.928416429997</v>
      </c>
      <c r="E11" s="38">
        <f t="shared" si="0"/>
        <v>6.3453918939354967E-2</v>
      </c>
      <c r="F11" s="37">
        <v>26514.1</v>
      </c>
      <c r="G11" s="37">
        <v>27631.8</v>
      </c>
      <c r="H11" s="37">
        <v>27316.444444444442</v>
      </c>
      <c r="I11" s="37">
        <v>17826.166666666672</v>
      </c>
      <c r="J11" s="37">
        <v>20450.599999999999</v>
      </c>
      <c r="K11" s="37">
        <v>20080.666666666672</v>
      </c>
      <c r="L11" s="37">
        <v>10905</v>
      </c>
      <c r="M11" s="37">
        <v>13060.1</v>
      </c>
      <c r="N11" s="37">
        <v>13365.222222222221</v>
      </c>
      <c r="O11" s="37">
        <v>7814.3</v>
      </c>
      <c r="P11" s="37">
        <v>7794.3639999999996</v>
      </c>
      <c r="Q11" s="37">
        <v>7817.4549999999999</v>
      </c>
      <c r="R11" s="37">
        <v>-5500</v>
      </c>
      <c r="S11" s="37">
        <v>-3260</v>
      </c>
      <c r="T11" s="37">
        <v>-5061</v>
      </c>
      <c r="U11" s="39">
        <v>0</v>
      </c>
      <c r="V11" s="39">
        <v>0</v>
      </c>
      <c r="W11" s="39">
        <v>0</v>
      </c>
    </row>
    <row r="12" spans="2:23" ht="13.95" customHeight="1" x14ac:dyDescent="0.3">
      <c r="B12" s="35" t="s">
        <v>34</v>
      </c>
      <c r="C12" s="36">
        <v>3300.0682505491141</v>
      </c>
      <c r="D12" s="37">
        <v>45006.060626600003</v>
      </c>
      <c r="E12" s="38">
        <f t="shared" si="0"/>
        <v>7.3324974561285408E-2</v>
      </c>
      <c r="F12" s="37">
        <v>221191.64285714281</v>
      </c>
      <c r="G12" s="37">
        <v>215452.57142857139</v>
      </c>
      <c r="H12" s="37">
        <v>216420.46153846159</v>
      </c>
      <c r="I12" s="37">
        <v>13223</v>
      </c>
      <c r="J12" s="37">
        <v>8845.3333333333339</v>
      </c>
      <c r="K12" s="37">
        <v>9329.75</v>
      </c>
      <c r="L12" s="37">
        <v>11578.777777777779</v>
      </c>
      <c r="M12" s="37">
        <v>7133.1111111111104</v>
      </c>
      <c r="N12" s="37">
        <v>7570.7777777777774</v>
      </c>
      <c r="O12" s="37">
        <v>6856.0709999999999</v>
      </c>
      <c r="P12" s="37">
        <v>4105.0709999999999</v>
      </c>
      <c r="Q12" s="37">
        <v>4567.308</v>
      </c>
      <c r="R12" s="37">
        <v>-1588.666666666667</v>
      </c>
      <c r="S12" s="37">
        <v>-1503</v>
      </c>
      <c r="T12" s="37">
        <v>-1594</v>
      </c>
      <c r="U12" s="39">
        <v>0</v>
      </c>
      <c r="V12" s="39">
        <v>0</v>
      </c>
      <c r="W12" s="39">
        <v>0</v>
      </c>
    </row>
    <row r="13" spans="2:23" ht="13.95" customHeight="1" x14ac:dyDescent="0.3">
      <c r="B13" s="35" t="s">
        <v>35</v>
      </c>
      <c r="C13" s="36">
        <v>2985.2771915000189</v>
      </c>
      <c r="D13" s="37">
        <v>43216.865581289989</v>
      </c>
      <c r="E13" s="38">
        <f t="shared" si="0"/>
        <v>6.9076670678135541E-2</v>
      </c>
      <c r="F13" s="37">
        <v>163149.23076923081</v>
      </c>
      <c r="G13" s="37">
        <v>160150.46153846159</v>
      </c>
      <c r="H13" s="37">
        <v>161947.27272727271</v>
      </c>
      <c r="I13" s="37">
        <v>11213.72727272727</v>
      </c>
      <c r="J13" s="37">
        <v>8694.545454545454</v>
      </c>
      <c r="K13" s="37">
        <v>9270.4</v>
      </c>
      <c r="L13" s="37">
        <v>8992.7999999999993</v>
      </c>
      <c r="M13" s="37">
        <v>6362.1</v>
      </c>
      <c r="N13" s="37">
        <v>6883.333333333333</v>
      </c>
      <c r="O13" s="37">
        <v>5020.2730000000001</v>
      </c>
      <c r="P13" s="37">
        <v>3493.364</v>
      </c>
      <c r="Q13" s="37">
        <v>3939.2</v>
      </c>
      <c r="R13" s="37">
        <v>-2424.5714285714289</v>
      </c>
      <c r="S13" s="37">
        <v>-2483.2857142857142</v>
      </c>
      <c r="T13" s="37">
        <v>-2376.7142857142858</v>
      </c>
      <c r="U13" s="39">
        <v>0</v>
      </c>
      <c r="V13" s="39">
        <v>0</v>
      </c>
      <c r="W13" s="39">
        <v>0</v>
      </c>
    </row>
    <row r="14" spans="2:23" ht="13.95" customHeight="1" x14ac:dyDescent="0.3">
      <c r="B14" s="35" t="s">
        <v>36</v>
      </c>
      <c r="C14" s="36">
        <v>2308.3046369258868</v>
      </c>
      <c r="D14" s="37">
        <v>47327.830392279997</v>
      </c>
      <c r="E14" s="38">
        <f t="shared" si="0"/>
        <v>4.8772669648985474E-2</v>
      </c>
      <c r="F14" s="37">
        <v>71120.538461538468</v>
      </c>
      <c r="G14" s="37">
        <v>73508.307692307688</v>
      </c>
      <c r="H14" s="37">
        <v>75563.399999999994</v>
      </c>
      <c r="I14" s="37">
        <v>12889</v>
      </c>
      <c r="J14" s="37">
        <v>13312.30769230769</v>
      </c>
      <c r="K14" s="37">
        <v>13170</v>
      </c>
      <c r="L14" s="37">
        <v>8593.75</v>
      </c>
      <c r="M14" s="37">
        <v>8796.4166666666661</v>
      </c>
      <c r="N14" s="37">
        <v>8362.181818181818</v>
      </c>
      <c r="O14" s="37">
        <v>5373.0770000000002</v>
      </c>
      <c r="P14" s="37">
        <v>5819.5379999999996</v>
      </c>
      <c r="Q14" s="37">
        <v>5690.7</v>
      </c>
      <c r="R14" s="37">
        <v>-4696.2</v>
      </c>
      <c r="S14" s="37">
        <v>-4223.2857142857138</v>
      </c>
      <c r="T14" s="37">
        <v>-4169.1666666666661</v>
      </c>
      <c r="U14" s="39">
        <v>0</v>
      </c>
      <c r="V14" s="39">
        <v>0</v>
      </c>
      <c r="W14" s="39">
        <v>0</v>
      </c>
    </row>
    <row r="15" spans="2:23" ht="13.95" customHeight="1" x14ac:dyDescent="0.3">
      <c r="B15" s="35" t="s">
        <v>37</v>
      </c>
      <c r="C15" s="36">
        <v>1834.4477601386809</v>
      </c>
      <c r="D15" s="37">
        <v>53320.481000699998</v>
      </c>
      <c r="E15" s="38">
        <f t="shared" si="0"/>
        <v>3.440418626596032E-2</v>
      </c>
      <c r="F15" s="37">
        <v>54433.533333333333</v>
      </c>
      <c r="G15" s="37">
        <v>62460.066666666673</v>
      </c>
      <c r="H15" s="37">
        <v>63804.153846153837</v>
      </c>
      <c r="I15" s="37">
        <v>22602.875</v>
      </c>
      <c r="J15" s="37">
        <v>25683.625</v>
      </c>
      <c r="K15" s="37">
        <v>26069.571428571431</v>
      </c>
      <c r="L15" s="37">
        <v>11374.9375</v>
      </c>
      <c r="M15" s="37">
        <v>13838.625</v>
      </c>
      <c r="N15" s="37">
        <v>14174.066666666669</v>
      </c>
      <c r="O15" s="37">
        <v>9407.2139999999999</v>
      </c>
      <c r="P15" s="37">
        <v>6888.4000000000005</v>
      </c>
      <c r="Q15" s="37">
        <v>7008</v>
      </c>
      <c r="R15" s="37">
        <v>-14489.72727272727</v>
      </c>
      <c r="S15" s="37">
        <v>-10735.90909090909</v>
      </c>
      <c r="T15" s="37">
        <v>-10806.4</v>
      </c>
      <c r="U15" s="37">
        <v>-1389.904351609124</v>
      </c>
      <c r="V15" s="37">
        <v>-1320.6551404074951</v>
      </c>
      <c r="W15" s="37">
        <v>-1269.7707484970961</v>
      </c>
    </row>
    <row r="16" spans="2:23" ht="13.95" customHeight="1" x14ac:dyDescent="0.3">
      <c r="B16" s="35" t="s">
        <v>38</v>
      </c>
      <c r="C16" s="36">
        <v>1042.052179322015</v>
      </c>
      <c r="D16" s="37">
        <v>23199.922219775799</v>
      </c>
      <c r="E16" s="38">
        <f t="shared" si="0"/>
        <v>4.4916192797998321E-2</v>
      </c>
      <c r="F16" s="37">
        <v>21123.928571428569</v>
      </c>
      <c r="G16" s="37">
        <v>22132.78571428571</v>
      </c>
      <c r="H16" s="37">
        <v>22840.75</v>
      </c>
      <c r="I16" s="37">
        <v>7594.3571428571422</v>
      </c>
      <c r="J16" s="37">
        <v>8069.0714285714284</v>
      </c>
      <c r="K16" s="37">
        <v>8357</v>
      </c>
      <c r="L16" s="37">
        <v>3463.636363636364</v>
      </c>
      <c r="M16" s="37">
        <v>4265.6363636363631</v>
      </c>
      <c r="N16" s="37">
        <v>4616.454545454545</v>
      </c>
      <c r="O16" s="37">
        <v>1009.727</v>
      </c>
      <c r="P16" s="37">
        <v>1680.5830000000001</v>
      </c>
      <c r="Q16" s="37">
        <v>1980.5450000000001</v>
      </c>
      <c r="R16" s="37">
        <v>-3249.5</v>
      </c>
      <c r="S16" s="37">
        <v>-2873</v>
      </c>
      <c r="T16" s="37">
        <v>-2698.4285714285711</v>
      </c>
      <c r="U16" s="39">
        <v>0</v>
      </c>
      <c r="V16" s="39">
        <v>0</v>
      </c>
      <c r="W16" s="39">
        <v>0</v>
      </c>
    </row>
    <row r="17" spans="2:23" ht="13.95" customHeight="1" x14ac:dyDescent="0.3">
      <c r="B17" s="35" t="s">
        <v>39</v>
      </c>
      <c r="C17" s="36">
        <v>838.67827380624749</v>
      </c>
      <c r="D17" s="37">
        <v>20031.183206599999</v>
      </c>
      <c r="E17" s="38">
        <f t="shared" si="0"/>
        <v>4.1868633777455269E-2</v>
      </c>
      <c r="F17" s="37">
        <v>39894.199999999997</v>
      </c>
      <c r="G17" s="37">
        <v>46724</v>
      </c>
      <c r="H17" s="37">
        <v>52061.25</v>
      </c>
      <c r="I17" s="37">
        <v>17435.857142857141</v>
      </c>
      <c r="J17" s="37">
        <v>17310.555555555558</v>
      </c>
      <c r="K17" s="37">
        <v>20075.666666666672</v>
      </c>
      <c r="L17" s="37">
        <v>12235.4</v>
      </c>
      <c r="M17" s="37">
        <v>13142.6</v>
      </c>
      <c r="N17" s="37">
        <v>14606</v>
      </c>
      <c r="O17" s="37">
        <v>-856.55000000000007</v>
      </c>
      <c r="P17" s="37">
        <v>2196.857</v>
      </c>
      <c r="Q17" s="37">
        <v>3607.1669999999999</v>
      </c>
      <c r="R17" s="37">
        <v>-11294.66666666667</v>
      </c>
      <c r="S17" s="37">
        <v>-10044</v>
      </c>
      <c r="T17" s="37">
        <v>-11243.33333333333</v>
      </c>
      <c r="U17" s="39">
        <v>0</v>
      </c>
      <c r="V17" s="39">
        <v>0</v>
      </c>
      <c r="W17" s="39">
        <v>0</v>
      </c>
    </row>
    <row r="18" spans="2:23" ht="13.95" customHeight="1" x14ac:dyDescent="0.3">
      <c r="B18" s="35" t="s">
        <v>40</v>
      </c>
      <c r="C18" s="36">
        <v>699.8953923879684</v>
      </c>
      <c r="D18" s="37">
        <v>14527.91584475166</v>
      </c>
      <c r="E18" s="38">
        <f t="shared" si="0"/>
        <v>4.8175898034322102E-2</v>
      </c>
      <c r="F18" s="39">
        <v>25572.847794232679</v>
      </c>
      <c r="G18" s="39">
        <v>21296.365238826649</v>
      </c>
      <c r="H18" s="39">
        <v>21891.753675291751</v>
      </c>
      <c r="I18" s="39">
        <v>4634.5042142519078</v>
      </c>
      <c r="J18" s="39">
        <v>3856.7581772351632</v>
      </c>
      <c r="K18" s="39">
        <v>3815.5296863771659</v>
      </c>
      <c r="L18" s="39">
        <v>3090.0590108796132</v>
      </c>
      <c r="M18" s="39">
        <v>2548.442591147269</v>
      </c>
      <c r="N18" s="39">
        <v>2422.6387980376699</v>
      </c>
      <c r="O18" s="37">
        <v>1932</v>
      </c>
      <c r="P18" s="37">
        <v>1686</v>
      </c>
      <c r="Q18" s="39">
        <v>1648.673863801559</v>
      </c>
      <c r="R18" s="39">
        <v>-1688.614996583894</v>
      </c>
      <c r="S18" s="39">
        <v>-1223.543812977201</v>
      </c>
      <c r="T18" s="39">
        <v>-1207.8647823933791</v>
      </c>
      <c r="U18" s="39">
        <v>0</v>
      </c>
      <c r="V18" s="39">
        <v>0</v>
      </c>
      <c r="W18" s="39">
        <v>0</v>
      </c>
    </row>
    <row r="19" spans="2:23" ht="13.95" customHeight="1" x14ac:dyDescent="0.3">
      <c r="B19" s="35" t="s">
        <v>41</v>
      </c>
      <c r="C19" s="36">
        <v>569.56628322341192</v>
      </c>
      <c r="D19" s="37">
        <v>26997.261353860002</v>
      </c>
      <c r="E19" s="38">
        <f t="shared" si="0"/>
        <v>2.1097187442754326E-2</v>
      </c>
      <c r="F19" s="37">
        <v>14636.2</v>
      </c>
      <c r="G19" s="37">
        <v>14279.4</v>
      </c>
      <c r="H19" s="37">
        <v>16155.25</v>
      </c>
      <c r="I19" s="37">
        <v>4729.818181818182</v>
      </c>
      <c r="J19" s="37">
        <v>4618.272727272727</v>
      </c>
      <c r="K19" s="37">
        <v>5805.1111111111104</v>
      </c>
      <c r="L19" s="37">
        <v>3309</v>
      </c>
      <c r="M19" s="37">
        <v>3156.2</v>
      </c>
      <c r="N19" s="37">
        <v>4810.7777777777774</v>
      </c>
      <c r="O19" s="37">
        <v>1535.0909999999999</v>
      </c>
      <c r="P19" s="37">
        <v>1364.7</v>
      </c>
      <c r="Q19" s="37">
        <v>1844</v>
      </c>
      <c r="R19" s="37">
        <v>-2891.2857142857142</v>
      </c>
      <c r="S19" s="37">
        <v>-3586.1428571428569</v>
      </c>
      <c r="T19" s="37">
        <v>-4009.5</v>
      </c>
      <c r="U19" s="39">
        <v>0</v>
      </c>
      <c r="V19" s="39">
        <v>0</v>
      </c>
      <c r="W19" s="39">
        <v>0</v>
      </c>
    </row>
    <row r="20" spans="2:23" ht="13.95" customHeight="1" x14ac:dyDescent="0.3">
      <c r="B20" s="35" t="s">
        <v>42</v>
      </c>
      <c r="C20" s="36">
        <v>381.39676207327409</v>
      </c>
      <c r="D20" s="37">
        <v>9240.0440605200001</v>
      </c>
      <c r="E20" s="38">
        <f t="shared" si="0"/>
        <v>4.1276509026928851E-2</v>
      </c>
      <c r="F20" s="37">
        <v>13491.1</v>
      </c>
      <c r="G20" s="37">
        <v>13712.18181818182</v>
      </c>
      <c r="H20" s="37">
        <v>13075.33333333333</v>
      </c>
      <c r="I20" s="37">
        <v>6799.4</v>
      </c>
      <c r="J20" s="37">
        <v>7196.727272727273</v>
      </c>
      <c r="K20" s="37">
        <v>6561.8888888888896</v>
      </c>
      <c r="L20" s="37">
        <v>4110.3</v>
      </c>
      <c r="M20" s="37">
        <v>4262.2727272727279</v>
      </c>
      <c r="N20" s="37">
        <v>3471.8</v>
      </c>
      <c r="O20" s="37">
        <v>911</v>
      </c>
      <c r="P20" s="37">
        <v>1804.5450000000001</v>
      </c>
      <c r="Q20" s="37">
        <v>1734.778</v>
      </c>
      <c r="R20" s="37">
        <v>-3101.166666666667</v>
      </c>
      <c r="S20" s="37">
        <v>-2098</v>
      </c>
      <c r="T20" s="37">
        <v>-2040.666666666667</v>
      </c>
      <c r="U20" s="39">
        <v>0</v>
      </c>
      <c r="V20" s="39">
        <v>0</v>
      </c>
      <c r="W20" s="39">
        <v>0</v>
      </c>
    </row>
    <row r="21" spans="2:23" ht="13.95" customHeight="1" x14ac:dyDescent="0.3">
      <c r="B21" s="35" t="s">
        <v>43</v>
      </c>
      <c r="C21" s="36">
        <v>380.24257091607069</v>
      </c>
      <c r="D21" s="37">
        <v>7940.74808734</v>
      </c>
      <c r="E21" s="38">
        <f t="shared" si="0"/>
        <v>4.7884980953154091E-2</v>
      </c>
      <c r="F21" s="39">
        <v>9344.2195078267723</v>
      </c>
      <c r="G21" s="39">
        <v>9024.0790423825238</v>
      </c>
      <c r="H21" s="39">
        <v>8359.1597315865965</v>
      </c>
      <c r="I21" s="39">
        <v>3590.7827422166042</v>
      </c>
      <c r="J21" s="39">
        <v>3541.6815770918411</v>
      </c>
      <c r="K21" s="39">
        <v>3314.342366109965</v>
      </c>
      <c r="L21" s="39">
        <v>2385.2779149502808</v>
      </c>
      <c r="M21" s="39">
        <v>2483.9716970575109</v>
      </c>
      <c r="N21" s="39">
        <v>2360.191142650046</v>
      </c>
      <c r="O21" s="37">
        <v>1660</v>
      </c>
      <c r="P21" s="37">
        <v>1663.5</v>
      </c>
      <c r="Q21" s="37">
        <v>1533</v>
      </c>
      <c r="R21" s="39">
        <v>-1260.3147143039521</v>
      </c>
      <c r="S21" s="39">
        <v>-1271.591572416389</v>
      </c>
      <c r="T21" s="39">
        <v>-1155.9090780953311</v>
      </c>
      <c r="U21" s="39">
        <v>0</v>
      </c>
      <c r="V21" s="39">
        <v>0</v>
      </c>
      <c r="W21" s="39">
        <v>0</v>
      </c>
    </row>
    <row r="22" spans="2:23" ht="13.95" customHeight="1" x14ac:dyDescent="0.3">
      <c r="B22" s="35" t="s">
        <v>44</v>
      </c>
      <c r="C22" s="36">
        <v>335.83782587937787</v>
      </c>
      <c r="D22" s="37">
        <v>8420.6965634499993</v>
      </c>
      <c r="E22" s="38">
        <f t="shared" si="0"/>
        <v>3.9882428175488552E-2</v>
      </c>
      <c r="F22" s="37">
        <v>45041.333333333343</v>
      </c>
      <c r="G22" s="37">
        <v>43164.800000000003</v>
      </c>
      <c r="H22" s="37">
        <v>45946.5</v>
      </c>
      <c r="I22" s="37">
        <v>10237.6</v>
      </c>
      <c r="J22" s="37">
        <v>11015.2</v>
      </c>
      <c r="K22" s="37">
        <v>12622.625</v>
      </c>
      <c r="L22" s="37">
        <v>5127.1111111111104</v>
      </c>
      <c r="M22" s="37">
        <v>5876.8888888888896</v>
      </c>
      <c r="N22" s="37">
        <v>7499.25</v>
      </c>
      <c r="O22" s="37">
        <v>-504.44400000000002</v>
      </c>
      <c r="P22" s="37">
        <v>310.10000000000002</v>
      </c>
      <c r="Q22" s="37">
        <v>803.46299999999997</v>
      </c>
      <c r="R22" s="37">
        <v>-5019</v>
      </c>
      <c r="S22" s="37">
        <v>-5630</v>
      </c>
      <c r="T22" s="37">
        <v>-6095.75</v>
      </c>
      <c r="U22" s="39">
        <v>0</v>
      </c>
      <c r="V22" s="39">
        <v>0</v>
      </c>
      <c r="W22" s="39">
        <v>0</v>
      </c>
    </row>
    <row r="23" spans="2:23" ht="13.95" customHeight="1" x14ac:dyDescent="0.3">
      <c r="B23" s="35" t="s">
        <v>45</v>
      </c>
      <c r="C23" s="36">
        <v>277.31932124094618</v>
      </c>
      <c r="D23" s="37">
        <v>8789.3845187400002</v>
      </c>
      <c r="E23" s="38">
        <f t="shared" si="0"/>
        <v>3.1551620099185419E-2</v>
      </c>
      <c r="F23" s="37">
        <v>24954.18181818182</v>
      </c>
      <c r="G23" s="37">
        <v>26001</v>
      </c>
      <c r="H23" s="37">
        <v>26984.777777777781</v>
      </c>
      <c r="I23" s="37">
        <v>2644</v>
      </c>
      <c r="J23" s="37">
        <v>3020.4</v>
      </c>
      <c r="K23" s="37">
        <v>3319.5555555555552</v>
      </c>
      <c r="L23" s="37">
        <v>1569.75</v>
      </c>
      <c r="M23" s="37">
        <v>1984</v>
      </c>
      <c r="N23" s="37">
        <v>2097</v>
      </c>
      <c r="O23" s="37">
        <v>1592.9090000000001</v>
      </c>
      <c r="P23" s="37">
        <v>1416.182</v>
      </c>
      <c r="Q23" s="37">
        <v>1598.6669999999999</v>
      </c>
      <c r="R23" s="37">
        <v>-1308.166666666667</v>
      </c>
      <c r="S23" s="37">
        <v>-1658</v>
      </c>
      <c r="T23" s="37">
        <v>-2254.666666666667</v>
      </c>
      <c r="U23" s="39">
        <v>0</v>
      </c>
      <c r="V23" s="39">
        <v>0</v>
      </c>
      <c r="W23" s="39">
        <v>0</v>
      </c>
    </row>
    <row r="26" spans="2:23" ht="13.95" customHeight="1" x14ac:dyDescent="0.3">
      <c r="B26" s="47" t="s">
        <v>46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</row>
    <row r="27" spans="2:23" ht="30" customHeight="1" x14ac:dyDescent="0.3">
      <c r="B27" s="6" t="s">
        <v>9</v>
      </c>
      <c r="C27" s="7" t="s">
        <v>10</v>
      </c>
      <c r="D27" s="7" t="s">
        <v>11</v>
      </c>
      <c r="E27" s="7" t="s">
        <v>12</v>
      </c>
      <c r="F27" s="7" t="s">
        <v>13</v>
      </c>
      <c r="G27" s="7" t="s">
        <v>14</v>
      </c>
      <c r="H27" s="7" t="s">
        <v>15</v>
      </c>
      <c r="I27" s="7" t="s">
        <v>16</v>
      </c>
      <c r="J27" s="7" t="s">
        <v>17</v>
      </c>
      <c r="K27" s="7" t="s">
        <v>18</v>
      </c>
      <c r="L27" s="7" t="s">
        <v>19</v>
      </c>
      <c r="M27" s="7" t="s">
        <v>20</v>
      </c>
      <c r="N27" s="7" t="s">
        <v>21</v>
      </c>
      <c r="O27" s="7" t="s">
        <v>22</v>
      </c>
      <c r="P27" s="7" t="s">
        <v>23</v>
      </c>
      <c r="Q27" s="7" t="s">
        <v>24</v>
      </c>
      <c r="R27" s="7" t="s">
        <v>25</v>
      </c>
      <c r="S27" s="7" t="s">
        <v>26</v>
      </c>
      <c r="T27" s="7" t="s">
        <v>27</v>
      </c>
      <c r="U27" s="7" t="s">
        <v>28</v>
      </c>
      <c r="V27" s="7" t="s">
        <v>29</v>
      </c>
      <c r="W27" s="7" t="s">
        <v>30</v>
      </c>
    </row>
    <row r="28" spans="2:23" ht="43.95" customHeight="1" x14ac:dyDescent="0.3">
      <c r="B28" s="35" t="s">
        <v>31</v>
      </c>
      <c r="C28" s="41">
        <f t="shared" ref="C28:C42" si="1">C9</f>
        <v>18861.588447163969</v>
      </c>
      <c r="F28" s="41">
        <f t="shared" ref="F28:W28" si="2">F9*$E$9</f>
        <v>13553.345197620503</v>
      </c>
      <c r="G28" s="41">
        <f t="shared" si="2"/>
        <v>13616.331036202384</v>
      </c>
      <c r="H28" s="41">
        <f t="shared" si="2"/>
        <v>13945.067313212601</v>
      </c>
      <c r="I28" s="41">
        <f t="shared" si="2"/>
        <v>5208.2592873761287</v>
      </c>
      <c r="J28" s="41">
        <f t="shared" si="2"/>
        <v>5344.0033661063353</v>
      </c>
      <c r="K28" s="41">
        <f t="shared" si="2"/>
        <v>5529.1116426200078</v>
      </c>
      <c r="L28" s="41">
        <f t="shared" si="2"/>
        <v>3459.7319708192967</v>
      </c>
      <c r="M28" s="41">
        <f t="shared" si="2"/>
        <v>3748.0368636889416</v>
      </c>
      <c r="N28" s="41">
        <f t="shared" si="2"/>
        <v>3937.3603822804398</v>
      </c>
      <c r="O28" s="41">
        <f t="shared" si="2"/>
        <v>2407.750910518007</v>
      </c>
      <c r="P28" s="41">
        <f t="shared" si="2"/>
        <v>2510.0363784870447</v>
      </c>
      <c r="Q28" s="41">
        <f t="shared" si="2"/>
        <v>2557.4087441319107</v>
      </c>
      <c r="R28" s="41">
        <f t="shared" si="2"/>
        <v>-1828.0264463280612</v>
      </c>
      <c r="S28" s="41">
        <f t="shared" si="2"/>
        <v>-1918.6901745372284</v>
      </c>
      <c r="T28" s="41">
        <f t="shared" si="2"/>
        <v>-1928.3313657811186</v>
      </c>
      <c r="U28" s="41">
        <f t="shared" si="2"/>
        <v>0</v>
      </c>
      <c r="V28" s="41">
        <f t="shared" si="2"/>
        <v>0</v>
      </c>
      <c r="W28" s="41">
        <f t="shared" si="2"/>
        <v>0</v>
      </c>
    </row>
    <row r="29" spans="2:23" ht="13.95" customHeight="1" x14ac:dyDescent="0.3">
      <c r="B29" s="35" t="s">
        <v>32</v>
      </c>
      <c r="C29" s="41">
        <f t="shared" si="1"/>
        <v>28130.206887498189</v>
      </c>
      <c r="F29" s="41">
        <f t="shared" ref="F29:W29" si="3">F10*$E$10</f>
        <v>22865.69343211452</v>
      </c>
      <c r="G29" s="41">
        <f t="shared" si="3"/>
        <v>21843.07724838076</v>
      </c>
      <c r="H29" s="41">
        <f t="shared" si="3"/>
        <v>21208.638218421322</v>
      </c>
      <c r="I29" s="41">
        <f t="shared" si="3"/>
        <v>12302.087648874111</v>
      </c>
      <c r="J29" s="41">
        <f t="shared" si="3"/>
        <v>11598.416031120018</v>
      </c>
      <c r="K29" s="41">
        <f t="shared" si="3"/>
        <v>11064.143984602262</v>
      </c>
      <c r="L29" s="41">
        <f t="shared" si="3"/>
        <v>8570.3568807388929</v>
      </c>
      <c r="M29" s="41">
        <f t="shared" si="3"/>
        <v>7497.9672032918206</v>
      </c>
      <c r="N29" s="41">
        <f t="shared" si="3"/>
        <v>6874.8632634509158</v>
      </c>
      <c r="O29" s="41">
        <f t="shared" si="3"/>
        <v>6050.9770240006364</v>
      </c>
      <c r="P29" s="41">
        <f t="shared" si="3"/>
        <v>5077.0586685681164</v>
      </c>
      <c r="Q29" s="41">
        <f t="shared" si="3"/>
        <v>4695.7430117328349</v>
      </c>
      <c r="R29" s="41">
        <f t="shared" si="3"/>
        <v>-3645.2569643858014</v>
      </c>
      <c r="S29" s="41">
        <f t="shared" si="3"/>
        <v>-3884.7074848645766</v>
      </c>
      <c r="T29" s="41">
        <f t="shared" si="3"/>
        <v>-3903.6423670786185</v>
      </c>
      <c r="U29" s="41">
        <f t="shared" si="3"/>
        <v>-1428.1994672703192</v>
      </c>
      <c r="V29" s="41">
        <f t="shared" si="3"/>
        <v>-1443.8018102146898</v>
      </c>
      <c r="W29" s="41">
        <f t="shared" si="3"/>
        <v>-1514.5974413247709</v>
      </c>
    </row>
    <row r="30" spans="2:23" ht="13.95" customHeight="1" x14ac:dyDescent="0.3">
      <c r="B30" s="35" t="s">
        <v>33</v>
      </c>
      <c r="C30" s="41">
        <f t="shared" si="1"/>
        <v>3466.2926876420952</v>
      </c>
      <c r="F30" s="41">
        <f t="shared" ref="F30:W30" si="4">F11*$E$11</f>
        <v>1682.4235521499515</v>
      </c>
      <c r="G30" s="41">
        <f t="shared" si="4"/>
        <v>1753.3459973484685</v>
      </c>
      <c r="H30" s="41">
        <f t="shared" si="4"/>
        <v>1733.335451489171</v>
      </c>
      <c r="I30" s="41">
        <f t="shared" si="4"/>
        <v>1131.1401346660984</v>
      </c>
      <c r="J30" s="41">
        <f t="shared" si="4"/>
        <v>1297.6707146611725</v>
      </c>
      <c r="K30" s="41">
        <f t="shared" si="4"/>
        <v>1274.1969949148743</v>
      </c>
      <c r="L30" s="41">
        <f t="shared" si="4"/>
        <v>691.96498603366592</v>
      </c>
      <c r="M30" s="41">
        <f t="shared" si="4"/>
        <v>828.71452673986983</v>
      </c>
      <c r="N30" s="41">
        <f t="shared" si="4"/>
        <v>848.0757274953545</v>
      </c>
      <c r="O30" s="41">
        <f t="shared" si="4"/>
        <v>495.84795876780152</v>
      </c>
      <c r="P30" s="41">
        <f t="shared" si="4"/>
        <v>494.58294143982653</v>
      </c>
      <c r="Q30" s="41">
        <f t="shared" si="4"/>
        <v>496.0481558820552</v>
      </c>
      <c r="R30" s="41">
        <f t="shared" si="4"/>
        <v>-348.99655416645231</v>
      </c>
      <c r="S30" s="41">
        <f t="shared" si="4"/>
        <v>-206.85977574229719</v>
      </c>
      <c r="T30" s="41">
        <f t="shared" si="4"/>
        <v>-321.1402837520755</v>
      </c>
      <c r="U30" s="41">
        <f t="shared" si="4"/>
        <v>0</v>
      </c>
      <c r="V30" s="41">
        <f t="shared" si="4"/>
        <v>0</v>
      </c>
      <c r="W30" s="41">
        <f t="shared" si="4"/>
        <v>0</v>
      </c>
    </row>
    <row r="31" spans="2:23" ht="13.95" customHeight="1" x14ac:dyDescent="0.3">
      <c r="B31" s="35" t="s">
        <v>34</v>
      </c>
      <c r="C31" s="41">
        <f t="shared" si="1"/>
        <v>3300.0682505491141</v>
      </c>
      <c r="F31" s="41">
        <f t="shared" ref="F31:W31" si="5">F12*$E$12</f>
        <v>16218.871585668923</v>
      </c>
      <c r="G31" s="41">
        <f t="shared" si="5"/>
        <v>15798.054319163524</v>
      </c>
      <c r="H31" s="41">
        <f t="shared" si="5"/>
        <v>15869.024836849343</v>
      </c>
      <c r="I31" s="41">
        <f t="shared" si="5"/>
        <v>969.576138623877</v>
      </c>
      <c r="J31" s="41">
        <f t="shared" si="5"/>
        <v>648.58384165275652</v>
      </c>
      <c r="K31" s="41">
        <f t="shared" si="5"/>
        <v>684.10368141315257</v>
      </c>
      <c r="L31" s="41">
        <f t="shared" si="5"/>
        <v>849.0135860063325</v>
      </c>
      <c r="M31" s="41">
        <f t="shared" si="5"/>
        <v>523.03519076504449</v>
      </c>
      <c r="N31" s="41">
        <f t="shared" si="5"/>
        <v>555.12708796470042</v>
      </c>
      <c r="O31" s="41">
        <f t="shared" si="5"/>
        <v>502.72123166536659</v>
      </c>
      <c r="P31" s="41">
        <f t="shared" si="5"/>
        <v>301.00422664727046</v>
      </c>
      <c r="Q31" s="41">
        <f t="shared" si="5"/>
        <v>334.89774291355536</v>
      </c>
      <c r="R31" s="41">
        <f t="shared" si="5"/>
        <v>-116.48894291969545</v>
      </c>
      <c r="S31" s="41">
        <f t="shared" si="5"/>
        <v>-110.20743676561197</v>
      </c>
      <c r="T31" s="41">
        <f t="shared" si="5"/>
        <v>-116.88000945068895</v>
      </c>
      <c r="U31" s="41">
        <f t="shared" si="5"/>
        <v>0</v>
      </c>
      <c r="V31" s="41">
        <f t="shared" si="5"/>
        <v>0</v>
      </c>
      <c r="W31" s="41">
        <f t="shared" si="5"/>
        <v>0</v>
      </c>
    </row>
    <row r="32" spans="2:23" ht="13.95" customHeight="1" x14ac:dyDescent="0.3">
      <c r="B32" s="35" t="s">
        <v>35</v>
      </c>
      <c r="C32" s="41">
        <f t="shared" si="1"/>
        <v>2985.2771915000189</v>
      </c>
      <c r="F32" s="41">
        <f t="shared" ref="F32:W32" si="6">F13*$E$13</f>
        <v>11269.805685237294</v>
      </c>
      <c r="G32" s="41">
        <f t="shared" si="6"/>
        <v>11062.660690643723</v>
      </c>
      <c r="H32" s="41">
        <f t="shared" si="6"/>
        <v>11186.778425404018</v>
      </c>
      <c r="I32" s="41">
        <f t="shared" si="6"/>
        <v>774.60694589260868</v>
      </c>
      <c r="J32" s="41">
        <f t="shared" si="6"/>
        <v>600.59025305971659</v>
      </c>
      <c r="K32" s="41">
        <f t="shared" si="6"/>
        <v>640.36836785458775</v>
      </c>
      <c r="L32" s="41">
        <f t="shared" si="6"/>
        <v>621.19268407433719</v>
      </c>
      <c r="M32" s="41">
        <f t="shared" si="6"/>
        <v>439.47268652136614</v>
      </c>
      <c r="N32" s="41">
        <f t="shared" si="6"/>
        <v>475.4777498344996</v>
      </c>
      <c r="O32" s="41">
        <f t="shared" si="6"/>
        <v>346.78374473533557</v>
      </c>
      <c r="P32" s="41">
        <f t="shared" si="6"/>
        <v>241.30995458685427</v>
      </c>
      <c r="Q32" s="41">
        <f t="shared" si="6"/>
        <v>272.10682113531152</v>
      </c>
      <c r="R32" s="41">
        <f t="shared" si="6"/>
        <v>-167.48132210704523</v>
      </c>
      <c r="S32" s="41">
        <f t="shared" si="6"/>
        <v>-171.53710948543286</v>
      </c>
      <c r="T32" s="41">
        <f t="shared" si="6"/>
        <v>-164.17551001030586</v>
      </c>
      <c r="U32" s="41">
        <f t="shared" si="6"/>
        <v>0</v>
      </c>
      <c r="V32" s="41">
        <f t="shared" si="6"/>
        <v>0</v>
      </c>
      <c r="W32" s="41">
        <f t="shared" si="6"/>
        <v>0</v>
      </c>
    </row>
    <row r="33" spans="2:23" ht="13.95" customHeight="1" x14ac:dyDescent="0.3">
      <c r="B33" s="35" t="s">
        <v>36</v>
      </c>
      <c r="C33" s="41">
        <f t="shared" si="1"/>
        <v>2308.3046369258868</v>
      </c>
      <c r="F33" s="41">
        <f t="shared" ref="F33:W33" si="7">F14*$E$14</f>
        <v>3468.7385276425812</v>
      </c>
      <c r="G33" s="41">
        <f t="shared" si="7"/>
        <v>3585.1964075329006</v>
      </c>
      <c r="H33" s="41">
        <f t="shared" si="7"/>
        <v>3685.4287457541486</v>
      </c>
      <c r="I33" s="41">
        <f t="shared" si="7"/>
        <v>628.63093910577379</v>
      </c>
      <c r="J33" s="41">
        <f t="shared" si="7"/>
        <v>649.27678534257109</v>
      </c>
      <c r="K33" s="41">
        <f t="shared" si="7"/>
        <v>642.3360592771387</v>
      </c>
      <c r="L33" s="41">
        <f t="shared" si="7"/>
        <v>419.1401297959689</v>
      </c>
      <c r="M33" s="41">
        <f t="shared" si="7"/>
        <v>429.0247241781633</v>
      </c>
      <c r="N33" s="41">
        <f t="shared" si="7"/>
        <v>407.84593136293455</v>
      </c>
      <c r="O33" s="41">
        <f t="shared" si="7"/>
        <v>262.05930951956191</v>
      </c>
      <c r="P33" s="41">
        <f t="shared" si="7"/>
        <v>283.83440438371758</v>
      </c>
      <c r="Q33" s="41">
        <f t="shared" si="7"/>
        <v>277.55063117148165</v>
      </c>
      <c r="R33" s="41">
        <f t="shared" si="7"/>
        <v>-229.04621120556558</v>
      </c>
      <c r="S33" s="41">
        <f t="shared" si="7"/>
        <v>-205.98091897613676</v>
      </c>
      <c r="T33" s="41">
        <f t="shared" si="7"/>
        <v>-203.34138854489524</v>
      </c>
      <c r="U33" s="41">
        <f t="shared" si="7"/>
        <v>0</v>
      </c>
      <c r="V33" s="41">
        <f t="shared" si="7"/>
        <v>0</v>
      </c>
      <c r="W33" s="41">
        <f t="shared" si="7"/>
        <v>0</v>
      </c>
    </row>
    <row r="34" spans="2:23" ht="13.95" customHeight="1" x14ac:dyDescent="0.3">
      <c r="B34" s="35" t="s">
        <v>37</v>
      </c>
      <c r="C34" s="41">
        <f t="shared" si="1"/>
        <v>1834.4477601386809</v>
      </c>
      <c r="F34" s="41">
        <f t="shared" ref="F34:W34" si="8">F15*$E$15</f>
        <v>1872.74141991436</v>
      </c>
      <c r="G34" s="41">
        <f t="shared" si="8"/>
        <v>2148.8877677842993</v>
      </c>
      <c r="H34" s="41">
        <f t="shared" si="8"/>
        <v>2195.1299934650651</v>
      </c>
      <c r="I34" s="41">
        <f t="shared" si="8"/>
        <v>777.6335216462179</v>
      </c>
      <c r="J34" s="41">
        <f t="shared" si="8"/>
        <v>883.62421848507506</v>
      </c>
      <c r="K34" s="41">
        <f t="shared" si="8"/>
        <v>896.90239130232874</v>
      </c>
      <c r="L34" s="41">
        <f t="shared" si="8"/>
        <v>391.34546851365701</v>
      </c>
      <c r="M34" s="41">
        <f t="shared" si="8"/>
        <v>476.10663216477514</v>
      </c>
      <c r="N34" s="41">
        <f t="shared" si="8"/>
        <v>487.64722974613937</v>
      </c>
      <c r="O34" s="41">
        <f t="shared" si="8"/>
        <v>323.64754269974964</v>
      </c>
      <c r="P34" s="41">
        <f t="shared" si="8"/>
        <v>236.9897966744411</v>
      </c>
      <c r="Q34" s="41">
        <f t="shared" si="8"/>
        <v>241.10453735184993</v>
      </c>
      <c r="R34" s="41">
        <f t="shared" si="8"/>
        <v>-498.50727603387423</v>
      </c>
      <c r="S34" s="41">
        <f t="shared" si="8"/>
        <v>-369.36021609805306</v>
      </c>
      <c r="T34" s="41">
        <f t="shared" si="8"/>
        <v>-371.78539846447359</v>
      </c>
      <c r="U34" s="41">
        <f t="shared" si="8"/>
        <v>-47.818528204629104</v>
      </c>
      <c r="V34" s="41">
        <f t="shared" si="8"/>
        <v>-45.436065443677442</v>
      </c>
      <c r="W34" s="41">
        <f t="shared" si="8"/>
        <v>-43.68542934636195</v>
      </c>
    </row>
    <row r="35" spans="2:23" ht="13.95" customHeight="1" x14ac:dyDescent="0.3">
      <c r="B35" s="35" t="s">
        <v>38</v>
      </c>
      <c r="C35" s="41">
        <f t="shared" si="1"/>
        <v>1042.052179322015</v>
      </c>
      <c r="F35" s="41">
        <f t="shared" ref="F35:W35" si="9">F16*$E$16</f>
        <v>948.80644836543081</v>
      </c>
      <c r="G35" s="41">
        <f t="shared" si="9"/>
        <v>994.12047029963992</v>
      </c>
      <c r="H35" s="41">
        <f t="shared" si="9"/>
        <v>1025.9195306508802</v>
      </c>
      <c r="I35" s="41">
        <f t="shared" si="9"/>
        <v>341.10960960542707</v>
      </c>
      <c r="J35" s="41">
        <f t="shared" si="9"/>
        <v>362.431967986534</v>
      </c>
      <c r="K35" s="41">
        <f t="shared" si="9"/>
        <v>375.36462321287195</v>
      </c>
      <c r="L35" s="41">
        <f t="shared" si="9"/>
        <v>155.57335869124876</v>
      </c>
      <c r="M35" s="41">
        <f t="shared" si="9"/>
        <v>191.59614531524335</v>
      </c>
      <c r="N35" s="41">
        <f t="shared" si="9"/>
        <v>207.35356240683205</v>
      </c>
      <c r="O35" s="41">
        <f t="shared" si="9"/>
        <v>45.35309260534445</v>
      </c>
      <c r="P35" s="41">
        <f t="shared" si="9"/>
        <v>75.485390041038414</v>
      </c>
      <c r="Q35" s="41">
        <f t="shared" si="9"/>
        <v>88.958541065111589</v>
      </c>
      <c r="R35" s="41">
        <f t="shared" si="9"/>
        <v>-145.95516849709554</v>
      </c>
      <c r="S35" s="41">
        <f t="shared" si="9"/>
        <v>-129.04422190864918</v>
      </c>
      <c r="T35" s="41">
        <f t="shared" si="9"/>
        <v>-121.20313796591289</v>
      </c>
      <c r="U35" s="41">
        <f t="shared" si="9"/>
        <v>0</v>
      </c>
      <c r="V35" s="41">
        <f t="shared" si="9"/>
        <v>0</v>
      </c>
      <c r="W35" s="41">
        <f t="shared" si="9"/>
        <v>0</v>
      </c>
    </row>
    <row r="36" spans="2:23" ht="13.95" customHeight="1" x14ac:dyDescent="0.3">
      <c r="B36" s="35" t="s">
        <v>39</v>
      </c>
      <c r="C36" s="41">
        <f t="shared" si="1"/>
        <v>838.67827380624749</v>
      </c>
      <c r="F36" s="41">
        <f t="shared" ref="F36:W36" si="10">F17*$E$17</f>
        <v>1670.3156496445558</v>
      </c>
      <c r="G36" s="41">
        <f t="shared" si="10"/>
        <v>1956.2700446178201</v>
      </c>
      <c r="H36" s="41">
        <f t="shared" si="10"/>
        <v>2179.7334102465429</v>
      </c>
      <c r="I36" s="41">
        <f t="shared" si="10"/>
        <v>730.01551731031327</v>
      </c>
      <c r="J36" s="41">
        <f t="shared" si="10"/>
        <v>724.76931103984941</v>
      </c>
      <c r="K36" s="41">
        <f t="shared" si="10"/>
        <v>840.54073550493308</v>
      </c>
      <c r="L36" s="41">
        <f t="shared" si="10"/>
        <v>512.27948172067613</v>
      </c>
      <c r="M36" s="41">
        <f t="shared" si="10"/>
        <v>550.26270628358361</v>
      </c>
      <c r="N36" s="41">
        <f t="shared" si="10"/>
        <v>611.53326495351166</v>
      </c>
      <c r="O36" s="41">
        <f t="shared" si="10"/>
        <v>-35.86257826207931</v>
      </c>
      <c r="P36" s="41">
        <f t="shared" si="10"/>
        <v>91.979401194439049</v>
      </c>
      <c r="Q36" s="41">
        <f t="shared" si="10"/>
        <v>151.02715409712198</v>
      </c>
      <c r="R36" s="41">
        <f t="shared" si="10"/>
        <v>-472.89226230509826</v>
      </c>
      <c r="S36" s="41">
        <f t="shared" si="10"/>
        <v>-420.52855766076073</v>
      </c>
      <c r="T36" s="41">
        <f t="shared" si="10"/>
        <v>-470.74300577118862</v>
      </c>
      <c r="U36" s="41">
        <f t="shared" si="10"/>
        <v>0</v>
      </c>
      <c r="V36" s="41">
        <f t="shared" si="10"/>
        <v>0</v>
      </c>
      <c r="W36" s="41">
        <f t="shared" si="10"/>
        <v>0</v>
      </c>
    </row>
    <row r="37" spans="2:23" ht="13.95" customHeight="1" x14ac:dyDescent="0.3">
      <c r="B37" s="35" t="s">
        <v>40</v>
      </c>
      <c r="C37" s="41">
        <f t="shared" si="1"/>
        <v>699.8953923879684</v>
      </c>
      <c r="F37" s="41">
        <f t="shared" ref="F37:W37" si="11">F18*$E$18</f>
        <v>1231.9949077821925</v>
      </c>
      <c r="G37" s="41">
        <f t="shared" si="11"/>
        <v>1025.9715202473942</v>
      </c>
      <c r="H37" s="41">
        <f t="shared" si="11"/>
        <v>1054.6548928533516</v>
      </c>
      <c r="I37" s="41">
        <f t="shared" si="11"/>
        <v>223.27140246543598</v>
      </c>
      <c r="J37" s="41">
        <f t="shared" si="11"/>
        <v>185.80278868951919</v>
      </c>
      <c r="K37" s="41">
        <f t="shared" si="11"/>
        <v>183.81656911783534</v>
      </c>
      <c r="L37" s="41">
        <f t="shared" si="11"/>
        <v>148.86636782817445</v>
      </c>
      <c r="M37" s="41">
        <f t="shared" si="11"/>
        <v>122.77351041743444</v>
      </c>
      <c r="N37" s="41">
        <f t="shared" si="11"/>
        <v>116.71279970825545</v>
      </c>
      <c r="O37" s="41">
        <f t="shared" si="11"/>
        <v>93.075835002310299</v>
      </c>
      <c r="P37" s="41">
        <f t="shared" si="11"/>
        <v>81.224564085867058</v>
      </c>
      <c r="Q37" s="41">
        <f t="shared" si="11"/>
        <v>79.426343954355758</v>
      </c>
      <c r="R37" s="41">
        <f t="shared" si="11"/>
        <v>-81.350543894652844</v>
      </c>
      <c r="S37" s="41">
        <f t="shared" si="11"/>
        <v>-58.945321974515309</v>
      </c>
      <c r="T37" s="41">
        <f t="shared" si="11"/>
        <v>-58.189970595832087</v>
      </c>
      <c r="U37" s="41">
        <f t="shared" si="11"/>
        <v>0</v>
      </c>
      <c r="V37" s="41">
        <f t="shared" si="11"/>
        <v>0</v>
      </c>
      <c r="W37" s="41">
        <f t="shared" si="11"/>
        <v>0</v>
      </c>
    </row>
    <row r="38" spans="2:23" ht="13.95" customHeight="1" x14ac:dyDescent="0.3">
      <c r="B38" s="35" t="s">
        <v>41</v>
      </c>
      <c r="C38" s="41">
        <f t="shared" si="1"/>
        <v>569.56628322341192</v>
      </c>
      <c r="F38" s="41">
        <f t="shared" ref="F38:W38" si="12">F19*$E$19</f>
        <v>308.78265484964089</v>
      </c>
      <c r="G38" s="41">
        <f t="shared" si="12"/>
        <v>301.25517837006612</v>
      </c>
      <c r="H38" s="41">
        <f t="shared" si="12"/>
        <v>340.83033743455684</v>
      </c>
      <c r="I38" s="41">
        <f t="shared" si="12"/>
        <v>99.785860751965643</v>
      </c>
      <c r="J38" s="41">
        <f t="shared" si="12"/>
        <v>97.432565389032945</v>
      </c>
      <c r="K38" s="41">
        <f t="shared" si="12"/>
        <v>122.47151723712693</v>
      </c>
      <c r="L38" s="41">
        <f t="shared" si="12"/>
        <v>69.810593248074071</v>
      </c>
      <c r="M38" s="41">
        <f t="shared" si="12"/>
        <v>66.586943006821201</v>
      </c>
      <c r="N38" s="41">
        <f t="shared" si="12"/>
        <v>101.49388052321488</v>
      </c>
      <c r="O38" s="41">
        <f t="shared" si="12"/>
        <v>32.386102568685182</v>
      </c>
      <c r="P38" s="41">
        <f t="shared" si="12"/>
        <v>28.791331703126829</v>
      </c>
      <c r="Q38" s="41">
        <f t="shared" si="12"/>
        <v>38.903213644438978</v>
      </c>
      <c r="R38" s="41">
        <f t="shared" si="12"/>
        <v>-60.997996664843541</v>
      </c>
      <c r="S38" s="41">
        <f t="shared" si="12"/>
        <v>-75.657528053637407</v>
      </c>
      <c r="T38" s="41">
        <f t="shared" si="12"/>
        <v>-84.589173051723478</v>
      </c>
      <c r="U38" s="41">
        <f t="shared" si="12"/>
        <v>0</v>
      </c>
      <c r="V38" s="41">
        <f t="shared" si="12"/>
        <v>0</v>
      </c>
      <c r="W38" s="41">
        <f t="shared" si="12"/>
        <v>0</v>
      </c>
    </row>
    <row r="39" spans="2:23" ht="13.95" customHeight="1" x14ac:dyDescent="0.3">
      <c r="B39" s="35" t="s">
        <v>42</v>
      </c>
      <c r="C39" s="41">
        <f t="shared" si="1"/>
        <v>381.39676207327409</v>
      </c>
      <c r="F39" s="41">
        <f t="shared" ref="F39:W39" si="13">F20*$E$20</f>
        <v>556.86551093319986</v>
      </c>
      <c r="G39" s="41">
        <f t="shared" si="13"/>
        <v>565.99099659707156</v>
      </c>
      <c r="H39" s="41">
        <f t="shared" si="13"/>
        <v>539.70411436343693</v>
      </c>
      <c r="I39" s="41">
        <f t="shared" si="13"/>
        <v>280.65549547770001</v>
      </c>
      <c r="J39" s="41">
        <f t="shared" si="13"/>
        <v>297.05577823707233</v>
      </c>
      <c r="K39" s="41">
        <f t="shared" si="13"/>
        <v>270.85186595592637</v>
      </c>
      <c r="L39" s="41">
        <f t="shared" si="13"/>
        <v>169.65883505338567</v>
      </c>
      <c r="M39" s="41">
        <f t="shared" si="13"/>
        <v>175.93173870250541</v>
      </c>
      <c r="N39" s="41">
        <f t="shared" si="13"/>
        <v>143.30378403969158</v>
      </c>
      <c r="O39" s="41">
        <f t="shared" si="13"/>
        <v>37.602899723532182</v>
      </c>
      <c r="P39" s="41">
        <f t="shared" si="13"/>
        <v>74.48531798199933</v>
      </c>
      <c r="Q39" s="41">
        <f t="shared" si="13"/>
        <v>71.605579776717576</v>
      </c>
      <c r="R39" s="41">
        <f t="shared" si="13"/>
        <v>-128.00533391067754</v>
      </c>
      <c r="S39" s="41">
        <f t="shared" si="13"/>
        <v>-86.598115938496733</v>
      </c>
      <c r="T39" s="41">
        <f t="shared" si="13"/>
        <v>-84.231596087619494</v>
      </c>
      <c r="U39" s="41">
        <f t="shared" si="13"/>
        <v>0</v>
      </c>
      <c r="V39" s="41">
        <f t="shared" si="13"/>
        <v>0</v>
      </c>
      <c r="W39" s="41">
        <f t="shared" si="13"/>
        <v>0</v>
      </c>
    </row>
    <row r="40" spans="2:23" ht="13.95" customHeight="1" x14ac:dyDescent="0.3">
      <c r="B40" s="35" t="s">
        <v>43</v>
      </c>
      <c r="C40" s="41">
        <f t="shared" si="1"/>
        <v>380.24257091607069</v>
      </c>
      <c r="F40" s="41">
        <f t="shared" ref="F40:W40" si="14">F21*$E$21</f>
        <v>447.44777315437591</v>
      </c>
      <c r="G40" s="41">
        <f t="shared" si="14"/>
        <v>432.11785306424417</v>
      </c>
      <c r="H40" s="41">
        <f t="shared" si="14"/>
        <v>400.27820453139685</v>
      </c>
      <c r="I40" s="41">
        <f t="shared" si="14"/>
        <v>171.9445632179565</v>
      </c>
      <c r="J40" s="41">
        <f t="shared" si="14"/>
        <v>169.59335486117956</v>
      </c>
      <c r="K40" s="41">
        <f t="shared" si="14"/>
        <v>158.70722107340734</v>
      </c>
      <c r="L40" s="41">
        <f t="shared" si="14"/>
        <v>114.21898752537329</v>
      </c>
      <c r="M40" s="41">
        <f t="shared" si="14"/>
        <v>118.94493740177276</v>
      </c>
      <c r="N40" s="41">
        <f t="shared" si="14"/>
        <v>113.01770791160044</v>
      </c>
      <c r="O40" s="41">
        <f t="shared" si="14"/>
        <v>79.489068382235786</v>
      </c>
      <c r="P40" s="41">
        <f t="shared" si="14"/>
        <v>79.656665815571827</v>
      </c>
      <c r="Q40" s="41">
        <f t="shared" si="14"/>
        <v>73.407675801185221</v>
      </c>
      <c r="R40" s="41">
        <f t="shared" si="14"/>
        <v>-60.350146089424584</v>
      </c>
      <c r="S40" s="41">
        <f t="shared" si="14"/>
        <v>-60.89013822535005</v>
      </c>
      <c r="T40" s="41">
        <f t="shared" si="14"/>
        <v>-55.350684188172835</v>
      </c>
      <c r="U40" s="41">
        <f t="shared" si="14"/>
        <v>0</v>
      </c>
      <c r="V40" s="41">
        <f t="shared" si="14"/>
        <v>0</v>
      </c>
      <c r="W40" s="41">
        <f t="shared" si="14"/>
        <v>0</v>
      </c>
    </row>
    <row r="41" spans="2:23" ht="13.95" customHeight="1" x14ac:dyDescent="0.3">
      <c r="B41" s="35" t="s">
        <v>44</v>
      </c>
      <c r="C41" s="41">
        <f t="shared" si="1"/>
        <v>335.83782587937787</v>
      </c>
      <c r="F41" s="41">
        <f t="shared" ref="F41:W41" si="15">F22*$E$22</f>
        <v>1796.3577415949055</v>
      </c>
      <c r="G41" s="41">
        <f t="shared" si="15"/>
        <v>1721.5170357093284</v>
      </c>
      <c r="H41" s="41">
        <f t="shared" si="15"/>
        <v>1832.4579861650848</v>
      </c>
      <c r="I41" s="41">
        <f t="shared" si="15"/>
        <v>408.30034668938163</v>
      </c>
      <c r="J41" s="41">
        <f t="shared" si="15"/>
        <v>439.3129228386415</v>
      </c>
      <c r="K41" s="41">
        <f t="shared" si="15"/>
        <v>503.42093494862615</v>
      </c>
      <c r="L41" s="41">
        <f t="shared" si="15"/>
        <v>204.48164063663816</v>
      </c>
      <c r="M41" s="41">
        <f t="shared" si="15"/>
        <v>234.38459900643787</v>
      </c>
      <c r="N41" s="41">
        <f t="shared" si="15"/>
        <v>299.08829949503252</v>
      </c>
      <c r="O41" s="41">
        <f t="shared" si="15"/>
        <v>-20.118451598556149</v>
      </c>
      <c r="P41" s="41">
        <f t="shared" si="15"/>
        <v>12.367540977219001</v>
      </c>
      <c r="Q41" s="41">
        <f t="shared" si="15"/>
        <v>32.044055389162558</v>
      </c>
      <c r="R41" s="41">
        <f t="shared" si="15"/>
        <v>-200.16990701277703</v>
      </c>
      <c r="S41" s="41">
        <f t="shared" si="15"/>
        <v>-224.53807062800055</v>
      </c>
      <c r="T41" s="41">
        <f t="shared" si="15"/>
        <v>-243.11331155073435</v>
      </c>
      <c r="U41" s="41">
        <f t="shared" si="15"/>
        <v>0</v>
      </c>
      <c r="V41" s="41">
        <f t="shared" si="15"/>
        <v>0</v>
      </c>
      <c r="W41" s="41">
        <f t="shared" si="15"/>
        <v>0</v>
      </c>
    </row>
    <row r="42" spans="2:23" ht="13.95" customHeight="1" x14ac:dyDescent="0.3">
      <c r="B42" s="35" t="s">
        <v>45</v>
      </c>
      <c r="C42" s="41">
        <f t="shared" si="1"/>
        <v>277.31932124094618</v>
      </c>
      <c r="F42" s="41">
        <f t="shared" ref="F42:W42" si="16">F23*$E$23</f>
        <v>787.34486461327288</v>
      </c>
      <c r="G42" s="41">
        <f t="shared" si="16"/>
        <v>820.37367419892007</v>
      </c>
      <c r="H42" s="41">
        <f t="shared" si="16"/>
        <v>851.41345690538549</v>
      </c>
      <c r="I42" s="41">
        <f t="shared" si="16"/>
        <v>83.422483542246255</v>
      </c>
      <c r="J42" s="41">
        <f t="shared" si="16"/>
        <v>95.298513347579643</v>
      </c>
      <c r="K42" s="41">
        <f t="shared" si="16"/>
        <v>104.73735578702927</v>
      </c>
      <c r="L42" s="41">
        <f t="shared" si="16"/>
        <v>49.528155650696313</v>
      </c>
      <c r="M42" s="41">
        <f t="shared" si="16"/>
        <v>62.59841427678387</v>
      </c>
      <c r="N42" s="41">
        <f t="shared" si="16"/>
        <v>66.16374734799183</v>
      </c>
      <c r="O42" s="41">
        <f t="shared" si="16"/>
        <v>50.258859620573354</v>
      </c>
      <c r="P42" s="41">
        <f t="shared" si="16"/>
        <v>44.682836455304603</v>
      </c>
      <c r="Q42" s="41">
        <f t="shared" si="16"/>
        <v>50.440533849104455</v>
      </c>
      <c r="R42" s="41">
        <f t="shared" si="16"/>
        <v>-41.274777693084403</v>
      </c>
      <c r="S42" s="41">
        <f t="shared" si="16"/>
        <v>-52.312586124449425</v>
      </c>
      <c r="T42" s="41">
        <f t="shared" si="16"/>
        <v>-71.138386116963403</v>
      </c>
      <c r="U42" s="41">
        <f t="shared" si="16"/>
        <v>0</v>
      </c>
      <c r="V42" s="41">
        <f t="shared" si="16"/>
        <v>0</v>
      </c>
      <c r="W42" s="41">
        <f t="shared" si="16"/>
        <v>0</v>
      </c>
    </row>
    <row r="43" spans="2:23" ht="13.95" customHeight="1" x14ac:dyDescent="0.3">
      <c r="B43" s="42" t="s">
        <v>47</v>
      </c>
      <c r="C43" s="43">
        <f>SUM(C28:C42)</f>
        <v>65411.174470267259</v>
      </c>
      <c r="F43" s="43">
        <f t="shared" ref="F43:W43" si="17">SUM(F28:F42)</f>
        <v>78679.534951285706</v>
      </c>
      <c r="G43" s="43">
        <f t="shared" si="17"/>
        <v>77625.170240160543</v>
      </c>
      <c r="H43" s="43">
        <f t="shared" si="17"/>
        <v>78048.394917746278</v>
      </c>
      <c r="I43" s="43">
        <f t="shared" si="17"/>
        <v>24130.439895245239</v>
      </c>
      <c r="J43" s="43">
        <f t="shared" si="17"/>
        <v>23393.862412817052</v>
      </c>
      <c r="K43" s="43">
        <f t="shared" si="17"/>
        <v>23291.07394482211</v>
      </c>
      <c r="L43" s="43">
        <f t="shared" si="17"/>
        <v>16427.163126336418</v>
      </c>
      <c r="M43" s="43">
        <f t="shared" si="17"/>
        <v>15465.436821760568</v>
      </c>
      <c r="N43" s="43">
        <f t="shared" si="17"/>
        <v>15245.064418521111</v>
      </c>
      <c r="O43" s="43">
        <f t="shared" si="17"/>
        <v>10671.972549948501</v>
      </c>
      <c r="P43" s="43">
        <f t="shared" si="17"/>
        <v>9633.4894190418363</v>
      </c>
      <c r="Q43" s="43">
        <f t="shared" si="17"/>
        <v>9460.6727418961964</v>
      </c>
      <c r="R43" s="43">
        <f t="shared" si="17"/>
        <v>-8024.7998532141501</v>
      </c>
      <c r="S43" s="43">
        <f t="shared" si="17"/>
        <v>-7975.8576569831957</v>
      </c>
      <c r="T43" s="43">
        <f t="shared" si="17"/>
        <v>-8197.8555884103225</v>
      </c>
      <c r="U43" s="43">
        <f t="shared" si="17"/>
        <v>-1476.0179954749483</v>
      </c>
      <c r="V43" s="43">
        <f t="shared" si="17"/>
        <v>-1489.2378756583673</v>
      </c>
      <c r="W43" s="43">
        <f t="shared" si="17"/>
        <v>-1558.2828706711327</v>
      </c>
    </row>
    <row r="44" spans="2:23" ht="13.95" customHeight="1" x14ac:dyDescent="0.3">
      <c r="B44" s="35" t="s">
        <v>48</v>
      </c>
      <c r="O44" s="41">
        <f>O43-10671.9725499485</f>
        <v>0</v>
      </c>
      <c r="P44" s="41">
        <f>P43-9633.48941904183</f>
        <v>0</v>
      </c>
      <c r="Q44" s="41">
        <f>Q43-9381.24639794184</f>
        <v>79.426343954355616</v>
      </c>
    </row>
    <row r="46" spans="2:23" ht="13.95" customHeight="1" x14ac:dyDescent="0.3">
      <c r="B46" s="2" t="s">
        <v>49</v>
      </c>
    </row>
    <row r="47" spans="2:23" ht="13.95" customHeight="1" x14ac:dyDescent="0.3">
      <c r="B47" s="2" t="s">
        <v>50</v>
      </c>
    </row>
    <row r="48" spans="2:23" ht="13.95" customHeight="1" x14ac:dyDescent="0.3">
      <c r="B48" s="2" t="s">
        <v>51</v>
      </c>
    </row>
  </sheetData>
  <mergeCells count="2">
    <mergeCell ref="B7:W7"/>
    <mergeCell ref="B26:W26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K17"/>
  <sheetViews>
    <sheetView showGridLines="0" zoomScale="85" zoomScaleNormal="85" workbookViewId="0"/>
  </sheetViews>
  <sheetFormatPr defaultRowHeight="13.95" customHeight="1" x14ac:dyDescent="0.3"/>
  <cols>
    <col min="1" max="1" width="2.6640625" customWidth="1"/>
    <col min="2" max="2" width="22.6640625" customWidth="1"/>
    <col min="3" max="11" width="15.6640625" customWidth="1"/>
  </cols>
  <sheetData>
    <row r="1" spans="2:11" ht="30" customHeight="1" x14ac:dyDescent="0.3">
      <c r="B1" s="1" t="s">
        <v>52</v>
      </c>
    </row>
    <row r="2" spans="2:11" ht="13.95" customHeight="1" x14ac:dyDescent="0.3">
      <c r="B2" s="2" t="s">
        <v>53</v>
      </c>
    </row>
    <row r="3" spans="2:11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1" ht="30" customHeight="1" x14ac:dyDescent="0.3">
      <c r="B5" s="6" t="s">
        <v>54</v>
      </c>
      <c r="C5" s="7" t="s">
        <v>55</v>
      </c>
      <c r="D5" s="7" t="s">
        <v>56</v>
      </c>
      <c r="E5" s="7" t="s">
        <v>57</v>
      </c>
      <c r="F5" s="7" t="s">
        <v>58</v>
      </c>
      <c r="G5" s="7" t="s">
        <v>59</v>
      </c>
      <c r="H5" s="7" t="s">
        <v>60</v>
      </c>
      <c r="I5" s="7" t="s">
        <v>61</v>
      </c>
      <c r="J5" s="7" t="s">
        <v>62</v>
      </c>
      <c r="K5" s="7" t="s">
        <v>63</v>
      </c>
    </row>
    <row r="6" spans="2:11" ht="43.95" customHeight="1" x14ac:dyDescent="0.3">
      <c r="B6" s="44" t="s">
        <v>31</v>
      </c>
      <c r="C6" s="45" t="s">
        <v>64</v>
      </c>
      <c r="D6" s="45" t="s">
        <v>65</v>
      </c>
      <c r="E6" s="45" t="s">
        <v>66</v>
      </c>
      <c r="F6" s="45" t="s">
        <v>67</v>
      </c>
      <c r="G6" s="45" t="s">
        <v>68</v>
      </c>
      <c r="H6" s="45" t="s">
        <v>69</v>
      </c>
      <c r="I6" s="45" t="s">
        <v>70</v>
      </c>
      <c r="J6" s="45" t="s">
        <v>71</v>
      </c>
      <c r="K6" s="45" t="s">
        <v>72</v>
      </c>
    </row>
    <row r="7" spans="2:11" ht="43.95" customHeight="1" x14ac:dyDescent="0.3">
      <c r="B7" s="44" t="s">
        <v>73</v>
      </c>
      <c r="C7" s="45" t="s">
        <v>64</v>
      </c>
      <c r="D7" s="45" t="s">
        <v>74</v>
      </c>
      <c r="E7" s="45" t="s">
        <v>75</v>
      </c>
      <c r="F7" s="45" t="s">
        <v>76</v>
      </c>
      <c r="G7" s="45" t="s">
        <v>77</v>
      </c>
      <c r="H7" s="45" t="s">
        <v>78</v>
      </c>
      <c r="I7" s="45" t="s">
        <v>79</v>
      </c>
      <c r="J7" s="45" t="s">
        <v>80</v>
      </c>
      <c r="K7" s="45" t="s">
        <v>81</v>
      </c>
    </row>
    <row r="8" spans="2:11" ht="43.95" customHeight="1" x14ac:dyDescent="0.3">
      <c r="B8" s="44" t="s">
        <v>37</v>
      </c>
      <c r="C8" s="45" t="s">
        <v>82</v>
      </c>
      <c r="D8" s="45" t="s">
        <v>83</v>
      </c>
      <c r="E8" s="45" t="s">
        <v>66</v>
      </c>
      <c r="F8" s="45" t="s">
        <v>67</v>
      </c>
      <c r="G8" s="45" t="s">
        <v>84</v>
      </c>
      <c r="H8" s="45" t="s">
        <v>85</v>
      </c>
      <c r="I8" s="45" t="s">
        <v>70</v>
      </c>
      <c r="J8" s="45" t="s">
        <v>86</v>
      </c>
      <c r="K8" s="45" t="s">
        <v>87</v>
      </c>
    </row>
    <row r="9" spans="2:11" ht="43.95" customHeight="1" x14ac:dyDescent="0.3">
      <c r="B9" s="44" t="s">
        <v>88</v>
      </c>
      <c r="C9" s="45" t="s">
        <v>64</v>
      </c>
      <c r="D9" s="45" t="s">
        <v>89</v>
      </c>
      <c r="E9" s="45" t="s">
        <v>90</v>
      </c>
      <c r="F9" s="45" t="s">
        <v>91</v>
      </c>
      <c r="G9" s="45" t="s">
        <v>92</v>
      </c>
      <c r="H9" s="45" t="s">
        <v>93</v>
      </c>
      <c r="I9" s="45" t="s">
        <v>94</v>
      </c>
      <c r="J9" s="45" t="s">
        <v>95</v>
      </c>
      <c r="K9" s="45" t="s">
        <v>96</v>
      </c>
    </row>
    <row r="11" spans="2:11" ht="13.95" customHeight="1" x14ac:dyDescent="0.3">
      <c r="B11" s="22" t="s">
        <v>97</v>
      </c>
    </row>
    <row r="12" spans="2:11" ht="13.95" customHeight="1" x14ac:dyDescent="0.3">
      <c r="B12" s="6" t="s">
        <v>54</v>
      </c>
      <c r="C12" s="7" t="s">
        <v>98</v>
      </c>
      <c r="D12" s="7" t="s">
        <v>99</v>
      </c>
      <c r="E12" s="7" t="s">
        <v>100</v>
      </c>
      <c r="F12" s="7" t="s">
        <v>101</v>
      </c>
    </row>
    <row r="13" spans="2:11" ht="13.95" customHeight="1" x14ac:dyDescent="0.3">
      <c r="B13" s="35" t="s">
        <v>102</v>
      </c>
      <c r="C13" s="35" t="s">
        <v>103</v>
      </c>
      <c r="D13" s="46">
        <v>6.3E-2</v>
      </c>
      <c r="E13" s="46">
        <v>3.7999999999999999E-2</v>
      </c>
      <c r="F13" s="2" t="s">
        <v>104</v>
      </c>
    </row>
    <row r="14" spans="2:11" ht="13.95" customHeight="1" x14ac:dyDescent="0.3">
      <c r="B14" s="35" t="s">
        <v>105</v>
      </c>
      <c r="C14" s="35" t="s">
        <v>106</v>
      </c>
      <c r="D14" s="46">
        <v>-3.7999999999999999E-2</v>
      </c>
      <c r="E14" s="46">
        <v>-6.0999999999999999E-2</v>
      </c>
      <c r="F14" s="2" t="s">
        <v>107</v>
      </c>
    </row>
    <row r="15" spans="2:11" ht="13.95" customHeight="1" x14ac:dyDescent="0.3">
      <c r="B15" s="35" t="s">
        <v>108</v>
      </c>
      <c r="C15" s="35" t="s">
        <v>109</v>
      </c>
      <c r="D15" s="46">
        <v>4.7E-2</v>
      </c>
      <c r="E15" s="46">
        <v>7.0000000000000001E-3</v>
      </c>
      <c r="F15" s="2" t="s">
        <v>110</v>
      </c>
    </row>
    <row r="17" spans="2:2" ht="13.95" customHeight="1" x14ac:dyDescent="0.3">
      <c r="B17" s="2" t="s">
        <v>111</v>
      </c>
    </row>
  </sheetData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DCF Commodities</vt:lpstr>
      <vt:lpstr>Box Consensus</vt:lpstr>
      <vt:lpstr>Analyst Models</vt:lpstr>
      <vt:lpstr>g_</vt:lpstr>
      <vt:lpstr>NExp</vt:lpstr>
      <vt:lpstr>PETRFX</vt:lpstr>
      <vt:lpstr>TVx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Caio Lopes de Souza</cp:lastModifiedBy>
  <dcterms:created xsi:type="dcterms:W3CDTF">2026-10-08T19:07:06Z</dcterms:created>
  <dcterms:modified xsi:type="dcterms:W3CDTF">2026-10-08T21:24:48Z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