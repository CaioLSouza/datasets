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11E59AEF-32B8-4711-9940-7C38027BE8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DM Financials" sheetId="1" r:id="rId1"/>
    <sheet name="Members DDM" sheetId="2" r:id="rId2"/>
    <sheet name="Analyst Models" sheetId="3" r:id="rId3"/>
    <sheet name="Model Parameters" sheetId="4" r:id="rId4"/>
  </sheets>
  <definedNames>
    <definedName name="BetaAn">'Model Parameters'!$H$13</definedName>
    <definedName name="ERPAn">'Model Parameters'!$G$13</definedName>
    <definedName name="g_">'DDM Financials'!$C$13</definedName>
    <definedName name="gAn">'DDM Financials'!$C$11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4" l="1"/>
  <c r="I13" i="4"/>
  <c r="H13" i="4"/>
  <c r="G13" i="4"/>
  <c r="D17" i="1" s="1"/>
  <c r="F13" i="4"/>
  <c r="D13" i="4"/>
  <c r="C13" i="4"/>
  <c r="C92" i="3"/>
  <c r="I82" i="3"/>
  <c r="G82" i="3"/>
  <c r="F82" i="3"/>
  <c r="E82" i="3"/>
  <c r="E80" i="3"/>
  <c r="D78" i="3"/>
  <c r="N77" i="3"/>
  <c r="N82" i="3" s="1"/>
  <c r="M77" i="3"/>
  <c r="M82" i="3" s="1"/>
  <c r="L77" i="3"/>
  <c r="L82" i="3" s="1"/>
  <c r="K77" i="3"/>
  <c r="K82" i="3" s="1"/>
  <c r="J77" i="3"/>
  <c r="J82" i="3" s="1"/>
  <c r="I77" i="3"/>
  <c r="H77" i="3"/>
  <c r="G77" i="3"/>
  <c r="F77" i="3"/>
  <c r="E77" i="3"/>
  <c r="D77" i="3"/>
  <c r="D82" i="3" s="1"/>
  <c r="C77" i="3"/>
  <c r="C78" i="3" s="1"/>
  <c r="C79" i="3" s="1"/>
  <c r="L72" i="3"/>
  <c r="K72" i="3"/>
  <c r="J72" i="3"/>
  <c r="I72" i="3"/>
  <c r="H72" i="3"/>
  <c r="E72" i="3"/>
  <c r="D72" i="3"/>
  <c r="L71" i="3"/>
  <c r="K71" i="3"/>
  <c r="J71" i="3"/>
  <c r="I71" i="3"/>
  <c r="H71" i="3"/>
  <c r="G71" i="3"/>
  <c r="F71" i="3"/>
  <c r="E71" i="3"/>
  <c r="E70" i="3"/>
  <c r="C72" i="3" s="1"/>
  <c r="M69" i="3"/>
  <c r="L69" i="3"/>
  <c r="K69" i="3"/>
  <c r="J69" i="3"/>
  <c r="I69" i="3"/>
  <c r="H69" i="3"/>
  <c r="G69" i="3"/>
  <c r="F69" i="3"/>
  <c r="E69" i="3"/>
  <c r="D69" i="3"/>
  <c r="C69" i="3"/>
  <c r="E60" i="3"/>
  <c r="I62" i="3" s="1"/>
  <c r="M59" i="3"/>
  <c r="L59" i="3"/>
  <c r="K59" i="3"/>
  <c r="J59" i="3"/>
  <c r="I59" i="3"/>
  <c r="H59" i="3"/>
  <c r="G59" i="3"/>
  <c r="F59" i="3"/>
  <c r="E59" i="3"/>
  <c r="D59" i="3"/>
  <c r="C59" i="3"/>
  <c r="J52" i="3"/>
  <c r="F52" i="3"/>
  <c r="E50" i="3"/>
  <c r="D52" i="3" s="1"/>
  <c r="N47" i="3"/>
  <c r="N51" i="3" s="1"/>
  <c r="M47" i="3"/>
  <c r="L47" i="3"/>
  <c r="K47" i="3"/>
  <c r="J47" i="3"/>
  <c r="I47" i="3"/>
  <c r="H47" i="3"/>
  <c r="G47" i="3"/>
  <c r="F47" i="3"/>
  <c r="F51" i="3" s="1"/>
  <c r="E47" i="3"/>
  <c r="D47" i="3"/>
  <c r="D51" i="3" s="1"/>
  <c r="C47" i="3"/>
  <c r="C51" i="3" s="1"/>
  <c r="M42" i="3"/>
  <c r="E40" i="3"/>
  <c r="K42" i="3" s="1"/>
  <c r="M39" i="3"/>
  <c r="L39" i="3"/>
  <c r="K39" i="3"/>
  <c r="J39" i="3"/>
  <c r="I39" i="3"/>
  <c r="H39" i="3"/>
  <c r="G39" i="3"/>
  <c r="F39" i="3"/>
  <c r="E39" i="3"/>
  <c r="D39" i="3"/>
  <c r="C39" i="3"/>
  <c r="H32" i="3"/>
  <c r="G32" i="3"/>
  <c r="F32" i="3"/>
  <c r="E30" i="3"/>
  <c r="E31" i="3" s="1"/>
  <c r="J29" i="3"/>
  <c r="I29" i="3"/>
  <c r="H29" i="3"/>
  <c r="G29" i="3"/>
  <c r="F29" i="3"/>
  <c r="E29" i="3"/>
  <c r="D29" i="3"/>
  <c r="C29" i="3"/>
  <c r="N22" i="3"/>
  <c r="E20" i="3"/>
  <c r="M22" i="3" s="1"/>
  <c r="N19" i="3"/>
  <c r="M19" i="3"/>
  <c r="L19" i="3"/>
  <c r="K19" i="3"/>
  <c r="J19" i="3"/>
  <c r="I19" i="3"/>
  <c r="H19" i="3"/>
  <c r="G19" i="3"/>
  <c r="F19" i="3"/>
  <c r="E19" i="3"/>
  <c r="D19" i="3"/>
  <c r="C19" i="3"/>
  <c r="N12" i="3"/>
  <c r="M12" i="3"/>
  <c r="H12" i="3"/>
  <c r="G12" i="3"/>
  <c r="F12" i="3"/>
  <c r="F11" i="3"/>
  <c r="E11" i="3"/>
  <c r="D11" i="3"/>
  <c r="E10" i="3"/>
  <c r="C11" i="3" s="1"/>
  <c r="N9" i="3"/>
  <c r="M9" i="3"/>
  <c r="L9" i="3"/>
  <c r="K9" i="3"/>
  <c r="J9" i="3"/>
  <c r="I9" i="3"/>
  <c r="I78" i="3" s="1"/>
  <c r="H9" i="3"/>
  <c r="G9" i="3"/>
  <c r="G78" i="3" s="1"/>
  <c r="G83" i="3" s="1"/>
  <c r="F9" i="3"/>
  <c r="E9" i="3"/>
  <c r="D9" i="3"/>
  <c r="C9" i="3"/>
  <c r="E139" i="2"/>
  <c r="E140" i="2" s="1"/>
  <c r="E136" i="2"/>
  <c r="D136" i="2"/>
  <c r="D137" i="2" s="1"/>
  <c r="D138" i="2" s="1"/>
  <c r="C136" i="2"/>
  <c r="N135" i="2"/>
  <c r="M135" i="2"/>
  <c r="L135" i="2"/>
  <c r="K135" i="2"/>
  <c r="J135" i="2"/>
  <c r="I135" i="2"/>
  <c r="H135" i="2"/>
  <c r="G135" i="2"/>
  <c r="F135" i="2"/>
  <c r="E134" i="2"/>
  <c r="N134" i="2" s="1"/>
  <c r="D134" i="2"/>
  <c r="E126" i="2"/>
  <c r="C126" i="2"/>
  <c r="E125" i="2"/>
  <c r="D126" i="2" s="1"/>
  <c r="E122" i="2"/>
  <c r="E128" i="2" s="1"/>
  <c r="D122" i="2"/>
  <c r="C122" i="2"/>
  <c r="C128" i="2" s="1"/>
  <c r="N121" i="2"/>
  <c r="M121" i="2"/>
  <c r="L121" i="2"/>
  <c r="K121" i="2"/>
  <c r="J121" i="2"/>
  <c r="I121" i="2"/>
  <c r="H121" i="2"/>
  <c r="G121" i="2"/>
  <c r="F121" i="2"/>
  <c r="E120" i="2"/>
  <c r="D120" i="2"/>
  <c r="E111" i="2"/>
  <c r="E112" i="2" s="1"/>
  <c r="E108" i="2"/>
  <c r="D108" i="2"/>
  <c r="C108" i="2"/>
  <c r="N107" i="2"/>
  <c r="M107" i="2"/>
  <c r="L107" i="2"/>
  <c r="K107" i="2"/>
  <c r="J107" i="2"/>
  <c r="I107" i="2"/>
  <c r="H107" i="2"/>
  <c r="G107" i="2"/>
  <c r="F107" i="2"/>
  <c r="E106" i="2"/>
  <c r="L106" i="2" s="1"/>
  <c r="D106" i="2"/>
  <c r="E100" i="2"/>
  <c r="E97" i="2"/>
  <c r="E98" i="2" s="1"/>
  <c r="E94" i="2"/>
  <c r="D94" i="2"/>
  <c r="D100" i="2" s="1"/>
  <c r="C94" i="2"/>
  <c r="C100" i="2" s="1"/>
  <c r="N93" i="2"/>
  <c r="M93" i="2"/>
  <c r="L93" i="2"/>
  <c r="K93" i="2"/>
  <c r="J93" i="2"/>
  <c r="I93" i="2"/>
  <c r="H93" i="2"/>
  <c r="G93" i="2"/>
  <c r="F93" i="2"/>
  <c r="E92" i="2"/>
  <c r="F92" i="2" s="1"/>
  <c r="F91" i="2" s="1"/>
  <c r="D92" i="2"/>
  <c r="E83" i="2"/>
  <c r="E84" i="2" s="1"/>
  <c r="E80" i="2"/>
  <c r="E81" i="2" s="1"/>
  <c r="D80" i="2"/>
  <c r="C80" i="2"/>
  <c r="N79" i="2"/>
  <c r="M79" i="2"/>
  <c r="L79" i="2"/>
  <c r="K79" i="2"/>
  <c r="J79" i="2"/>
  <c r="I79" i="2"/>
  <c r="H79" i="2"/>
  <c r="G79" i="2"/>
  <c r="F79" i="2"/>
  <c r="J78" i="2"/>
  <c r="E78" i="2"/>
  <c r="D78" i="2"/>
  <c r="E69" i="2"/>
  <c r="D70" i="2" s="1"/>
  <c r="E66" i="2"/>
  <c r="E72" i="2" s="1"/>
  <c r="D66" i="2"/>
  <c r="C66" i="2"/>
  <c r="N65" i="2"/>
  <c r="M65" i="2"/>
  <c r="L65" i="2"/>
  <c r="K65" i="2"/>
  <c r="J65" i="2"/>
  <c r="I65" i="2"/>
  <c r="H65" i="2"/>
  <c r="G65" i="2"/>
  <c r="F65" i="2"/>
  <c r="G64" i="2"/>
  <c r="F64" i="2"/>
  <c r="F63" i="2" s="1"/>
  <c r="E64" i="2"/>
  <c r="D64" i="2"/>
  <c r="E55" i="2"/>
  <c r="E52" i="2"/>
  <c r="E53" i="2" s="1"/>
  <c r="E54" i="2" s="1"/>
  <c r="D52" i="2"/>
  <c r="C52" i="2"/>
  <c r="N51" i="2"/>
  <c r="M51" i="2"/>
  <c r="L51" i="2"/>
  <c r="K51" i="2"/>
  <c r="J51" i="2"/>
  <c r="I51" i="2"/>
  <c r="H51" i="2"/>
  <c r="G51" i="2"/>
  <c r="F51" i="2"/>
  <c r="E50" i="2"/>
  <c r="K50" i="2" s="1"/>
  <c r="D50" i="2"/>
  <c r="E44" i="2"/>
  <c r="C44" i="2"/>
  <c r="F42" i="2"/>
  <c r="E42" i="2"/>
  <c r="E41" i="2"/>
  <c r="C42" i="2" s="1"/>
  <c r="E38" i="2"/>
  <c r="D38" i="2"/>
  <c r="D39" i="2" s="1"/>
  <c r="C38" i="2"/>
  <c r="N37" i="2"/>
  <c r="M37" i="2"/>
  <c r="L37" i="2"/>
  <c r="K37" i="2"/>
  <c r="J37" i="2"/>
  <c r="I37" i="2"/>
  <c r="H37" i="2"/>
  <c r="G37" i="2"/>
  <c r="F37" i="2"/>
  <c r="E36" i="2"/>
  <c r="F36" i="2" s="1"/>
  <c r="D36" i="2"/>
  <c r="F35" i="2"/>
  <c r="E28" i="2"/>
  <c r="D28" i="2"/>
  <c r="C28" i="2"/>
  <c r="E27" i="2"/>
  <c r="E24" i="2"/>
  <c r="D24" i="2"/>
  <c r="D30" i="2" s="1"/>
  <c r="C24" i="2"/>
  <c r="C30" i="2" s="1"/>
  <c r="N23" i="2"/>
  <c r="M23" i="2"/>
  <c r="L23" i="2"/>
  <c r="K23" i="2"/>
  <c r="J23" i="2"/>
  <c r="I23" i="2"/>
  <c r="H23" i="2"/>
  <c r="G23" i="2"/>
  <c r="F23" i="2"/>
  <c r="E22" i="2"/>
  <c r="N22" i="2" s="1"/>
  <c r="D22" i="2"/>
  <c r="E13" i="2"/>
  <c r="E10" i="2"/>
  <c r="D10" i="2"/>
  <c r="D11" i="2" s="1"/>
  <c r="D12" i="2" s="1"/>
  <c r="C10" i="2"/>
  <c r="N9" i="2"/>
  <c r="M9" i="2"/>
  <c r="L9" i="2"/>
  <c r="K9" i="2"/>
  <c r="J9" i="2"/>
  <c r="I9" i="2"/>
  <c r="H9" i="2"/>
  <c r="G9" i="2"/>
  <c r="F9" i="2"/>
  <c r="N8" i="2"/>
  <c r="K8" i="2"/>
  <c r="E8" i="2"/>
  <c r="J8" i="2" s="1"/>
  <c r="D8" i="2"/>
  <c r="E46" i="1"/>
  <c r="D46" i="1"/>
  <c r="C46" i="1"/>
  <c r="D26" i="1"/>
  <c r="C26" i="1"/>
  <c r="E24" i="1"/>
  <c r="E26" i="1" s="1"/>
  <c r="D24" i="1"/>
  <c r="C24" i="1"/>
  <c r="C17" i="1"/>
  <c r="C13" i="1"/>
  <c r="C11" i="1"/>
  <c r="N37" i="3" s="1"/>
  <c r="D25" i="1" l="1"/>
  <c r="C25" i="1"/>
  <c r="G92" i="2"/>
  <c r="H36" i="2"/>
  <c r="N92" i="2"/>
  <c r="K52" i="3"/>
  <c r="E70" i="2"/>
  <c r="N52" i="3"/>
  <c r="N57" i="3"/>
  <c r="N61" i="3" s="1"/>
  <c r="J22" i="2"/>
  <c r="J36" i="2"/>
  <c r="J50" i="2"/>
  <c r="C98" i="2"/>
  <c r="C140" i="2"/>
  <c r="D42" i="3"/>
  <c r="I51" i="3"/>
  <c r="L51" i="3"/>
  <c r="C62" i="3"/>
  <c r="J78" i="3"/>
  <c r="J83" i="3" s="1"/>
  <c r="E67" i="2"/>
  <c r="E68" i="2" s="1"/>
  <c r="D95" i="2"/>
  <c r="I106" i="2"/>
  <c r="E109" i="2"/>
  <c r="K51" i="3"/>
  <c r="D98" i="2"/>
  <c r="D140" i="2"/>
  <c r="E42" i="3"/>
  <c r="G62" i="3"/>
  <c r="G79" i="3"/>
  <c r="F38" i="2"/>
  <c r="F44" i="2" s="1"/>
  <c r="C22" i="3"/>
  <c r="F42" i="3"/>
  <c r="H62" i="3"/>
  <c r="E95" i="2"/>
  <c r="E51" i="3"/>
  <c r="J106" i="2"/>
  <c r="F41" i="3"/>
  <c r="M52" i="3"/>
  <c r="G41" i="3"/>
  <c r="J51" i="3"/>
  <c r="I50" i="2"/>
  <c r="K41" i="3"/>
  <c r="M22" i="2"/>
  <c r="H8" i="2"/>
  <c r="D25" i="2"/>
  <c r="D29" i="2" s="1"/>
  <c r="E123" i="2"/>
  <c r="D22" i="3"/>
  <c r="C32" i="3"/>
  <c r="G42" i="3"/>
  <c r="C52" i="3"/>
  <c r="J62" i="3"/>
  <c r="F72" i="3"/>
  <c r="C82" i="3"/>
  <c r="D15" i="2"/>
  <c r="C41" i="3"/>
  <c r="L52" i="3"/>
  <c r="D16" i="2"/>
  <c r="C70" i="2"/>
  <c r="G51" i="3"/>
  <c r="E25" i="1"/>
  <c r="M36" i="2"/>
  <c r="M51" i="3"/>
  <c r="D42" i="2"/>
  <c r="C72" i="2"/>
  <c r="E22" i="3"/>
  <c r="D32" i="3"/>
  <c r="D71" i="3"/>
  <c r="G72" i="3"/>
  <c r="E142" i="2"/>
  <c r="E137" i="2"/>
  <c r="C114" i="2"/>
  <c r="D109" i="2"/>
  <c r="E30" i="2"/>
  <c r="E25" i="2"/>
  <c r="D43" i="2"/>
  <c r="D40" i="2"/>
  <c r="E39" i="2"/>
  <c r="D44" i="2"/>
  <c r="E56" i="2"/>
  <c r="D58" i="2"/>
  <c r="C56" i="2"/>
  <c r="E58" i="2"/>
  <c r="D56" i="2"/>
  <c r="E82" i="2"/>
  <c r="E85" i="2"/>
  <c r="C44" i="1"/>
  <c r="C27" i="1"/>
  <c r="E16" i="2"/>
  <c r="E11" i="2"/>
  <c r="E44" i="1"/>
  <c r="E27" i="1"/>
  <c r="E127" i="2"/>
  <c r="E124" i="2"/>
  <c r="F66" i="2"/>
  <c r="F72" i="2" s="1"/>
  <c r="G63" i="2"/>
  <c r="C84" i="2"/>
  <c r="F70" i="2"/>
  <c r="D84" i="2"/>
  <c r="I83" i="3"/>
  <c r="I79" i="3"/>
  <c r="C83" i="3"/>
  <c r="M92" i="2"/>
  <c r="H50" i="2"/>
  <c r="N36" i="2"/>
  <c r="F106" i="2"/>
  <c r="F105" i="2" s="1"/>
  <c r="L92" i="2"/>
  <c r="K92" i="2"/>
  <c r="F50" i="2"/>
  <c r="F49" i="2" s="1"/>
  <c r="L36" i="2"/>
  <c r="J92" i="2"/>
  <c r="K36" i="2"/>
  <c r="M134" i="2"/>
  <c r="L78" i="2"/>
  <c r="L50" i="2"/>
  <c r="L134" i="2"/>
  <c r="K134" i="2"/>
  <c r="N78" i="2"/>
  <c r="F134" i="2"/>
  <c r="F133" i="2" s="1"/>
  <c r="I64" i="2"/>
  <c r="J134" i="2"/>
  <c r="M78" i="2"/>
  <c r="K106" i="2"/>
  <c r="H92" i="2"/>
  <c r="G50" i="2"/>
  <c r="I36" i="2"/>
  <c r="L22" i="2"/>
  <c r="M8" i="2"/>
  <c r="D14" i="2"/>
  <c r="D147" i="2" s="1"/>
  <c r="E14" i="2"/>
  <c r="E147" i="2" s="1"/>
  <c r="C14" i="2"/>
  <c r="C16" i="2"/>
  <c r="H22" i="2"/>
  <c r="H64" i="2"/>
  <c r="I92" i="2"/>
  <c r="E78" i="3"/>
  <c r="J79" i="3"/>
  <c r="F39" i="2"/>
  <c r="C58" i="2"/>
  <c r="N58" i="3"/>
  <c r="F95" i="2"/>
  <c r="G91" i="2"/>
  <c r="D53" i="2"/>
  <c r="F98" i="2"/>
  <c r="K27" i="3"/>
  <c r="K22" i="2"/>
  <c r="G36" i="2"/>
  <c r="G35" i="2" s="1"/>
  <c r="K78" i="2"/>
  <c r="F94" i="2"/>
  <c r="F100" i="2" s="1"/>
  <c r="D44" i="1"/>
  <c r="D27" i="1"/>
  <c r="D83" i="3"/>
  <c r="D79" i="3"/>
  <c r="N41" i="3"/>
  <c r="N38" i="3"/>
  <c r="H106" i="2"/>
  <c r="N67" i="3"/>
  <c r="H78" i="3"/>
  <c r="H82" i="3"/>
  <c r="L64" i="2"/>
  <c r="K64" i="2"/>
  <c r="J64" i="2"/>
  <c r="N64" i="2"/>
  <c r="K12" i="3"/>
  <c r="K11" i="3"/>
  <c r="J12" i="3"/>
  <c r="J11" i="3"/>
  <c r="I12" i="3"/>
  <c r="I11" i="3"/>
  <c r="D12" i="3"/>
  <c r="C12" i="3"/>
  <c r="N11" i="3"/>
  <c r="M11" i="3"/>
  <c r="L12" i="3"/>
  <c r="E32" i="3"/>
  <c r="F78" i="3"/>
  <c r="J22" i="3"/>
  <c r="J21" i="3"/>
  <c r="I22" i="3"/>
  <c r="I21" i="3"/>
  <c r="H22" i="3"/>
  <c r="H21" i="3"/>
  <c r="L22" i="3"/>
  <c r="F21" i="3"/>
  <c r="K22" i="3"/>
  <c r="E21" i="3"/>
  <c r="G22" i="3"/>
  <c r="D21" i="3"/>
  <c r="D88" i="3" s="1"/>
  <c r="F22" i="3"/>
  <c r="C21" i="3"/>
  <c r="F62" i="3"/>
  <c r="F61" i="3"/>
  <c r="E62" i="3"/>
  <c r="E61" i="3"/>
  <c r="D62" i="3"/>
  <c r="D61" i="3"/>
  <c r="K61" i="3"/>
  <c r="M62" i="3"/>
  <c r="J61" i="3"/>
  <c r="L62" i="3"/>
  <c r="I61" i="3"/>
  <c r="K62" i="3"/>
  <c r="H61" i="3"/>
  <c r="D67" i="2"/>
  <c r="D72" i="2"/>
  <c r="L120" i="2"/>
  <c r="K120" i="2"/>
  <c r="J120" i="2"/>
  <c r="N120" i="2"/>
  <c r="M120" i="2"/>
  <c r="M64" i="2"/>
  <c r="D81" i="2"/>
  <c r="D86" i="2"/>
  <c r="D114" i="2"/>
  <c r="F120" i="2"/>
  <c r="F119" i="2" s="1"/>
  <c r="G11" i="3"/>
  <c r="K21" i="3"/>
  <c r="C31" i="3"/>
  <c r="J42" i="3"/>
  <c r="J41" i="3"/>
  <c r="I42" i="3"/>
  <c r="I41" i="3"/>
  <c r="H42" i="3"/>
  <c r="H41" i="3"/>
  <c r="C42" i="3"/>
  <c r="M41" i="3"/>
  <c r="L41" i="3"/>
  <c r="L42" i="3"/>
  <c r="G61" i="3"/>
  <c r="C86" i="2"/>
  <c r="G21" i="3"/>
  <c r="L8" i="2"/>
  <c r="I8" i="2"/>
  <c r="E86" i="2"/>
  <c r="E114" i="2"/>
  <c r="G120" i="2"/>
  <c r="D141" i="2"/>
  <c r="H11" i="3"/>
  <c r="L21" i="3"/>
  <c r="D31" i="3"/>
  <c r="L61" i="3"/>
  <c r="F8" i="2"/>
  <c r="F7" i="2" s="1"/>
  <c r="I22" i="2"/>
  <c r="F22" i="2"/>
  <c r="F21" i="2" s="1"/>
  <c r="E57" i="2"/>
  <c r="C112" i="2"/>
  <c r="H120" i="2"/>
  <c r="C142" i="2"/>
  <c r="L11" i="3"/>
  <c r="M21" i="3"/>
  <c r="D41" i="3"/>
  <c r="M61" i="3"/>
  <c r="I31" i="3"/>
  <c r="H31" i="3"/>
  <c r="J32" i="3"/>
  <c r="G31" i="3"/>
  <c r="I32" i="3"/>
  <c r="F31" i="3"/>
  <c r="C61" i="3"/>
  <c r="G8" i="2"/>
  <c r="G22" i="2"/>
  <c r="D112" i="2"/>
  <c r="I120" i="2"/>
  <c r="D142" i="2"/>
  <c r="E12" i="3"/>
  <c r="N21" i="3"/>
  <c r="J31" i="3"/>
  <c r="E41" i="3"/>
  <c r="N50" i="2"/>
  <c r="M50" i="2"/>
  <c r="D123" i="2"/>
  <c r="D128" i="2"/>
  <c r="I52" i="3"/>
  <c r="H52" i="3"/>
  <c r="H51" i="3"/>
  <c r="G52" i="3"/>
  <c r="E52" i="3"/>
  <c r="N106" i="2"/>
  <c r="M106" i="2"/>
  <c r="I78" i="2"/>
  <c r="H78" i="2"/>
  <c r="G78" i="2"/>
  <c r="F78" i="2"/>
  <c r="F77" i="2" s="1"/>
  <c r="G106" i="2"/>
  <c r="I134" i="2"/>
  <c r="H134" i="2"/>
  <c r="G134" i="2"/>
  <c r="K78" i="3"/>
  <c r="L78" i="3"/>
  <c r="M71" i="3"/>
  <c r="M72" i="3"/>
  <c r="M78" i="3"/>
  <c r="N78" i="3"/>
  <c r="C71" i="3"/>
  <c r="E99" i="2" l="1"/>
  <c r="E96" i="2"/>
  <c r="D99" i="2"/>
  <c r="D96" i="2"/>
  <c r="E71" i="2"/>
  <c r="D26" i="2"/>
  <c r="E88" i="3"/>
  <c r="E90" i="3" s="1"/>
  <c r="E36" i="1" s="1"/>
  <c r="I89" i="3"/>
  <c r="E110" i="2"/>
  <c r="E113" i="2"/>
  <c r="G89" i="3"/>
  <c r="G88" i="3"/>
  <c r="G90" i="3" s="1"/>
  <c r="G36" i="1" s="1"/>
  <c r="J88" i="3"/>
  <c r="J91" i="3" s="1"/>
  <c r="J37" i="1" s="1"/>
  <c r="C88" i="3"/>
  <c r="J89" i="3"/>
  <c r="D149" i="2"/>
  <c r="F88" i="3"/>
  <c r="G38" i="2"/>
  <c r="G44" i="2" s="1"/>
  <c r="G39" i="2"/>
  <c r="G42" i="2"/>
  <c r="H35" i="2"/>
  <c r="D90" i="3"/>
  <c r="D36" i="1" s="1"/>
  <c r="D71" i="2"/>
  <c r="D148" i="2" s="1"/>
  <c r="D33" i="1" s="1"/>
  <c r="D68" i="2"/>
  <c r="N83" i="3"/>
  <c r="N79" i="3"/>
  <c r="E15" i="2"/>
  <c r="E12" i="2"/>
  <c r="E150" i="2"/>
  <c r="E31" i="1"/>
  <c r="G66" i="2"/>
  <c r="G72" i="2" s="1"/>
  <c r="H63" i="2"/>
  <c r="G67" i="2"/>
  <c r="G70" i="2"/>
  <c r="F122" i="2"/>
  <c r="F128" i="2" s="1"/>
  <c r="G119" i="2"/>
  <c r="F126" i="2"/>
  <c r="H88" i="3"/>
  <c r="F67" i="2"/>
  <c r="K88" i="3"/>
  <c r="D127" i="2"/>
  <c r="D124" i="2"/>
  <c r="D110" i="2"/>
  <c r="D113" i="2"/>
  <c r="E149" i="2"/>
  <c r="E43" i="2"/>
  <c r="E40" i="2"/>
  <c r="E138" i="2"/>
  <c r="E141" i="2"/>
  <c r="G94" i="2"/>
  <c r="G100" i="2" s="1"/>
  <c r="H91" i="2"/>
  <c r="G98" i="2"/>
  <c r="F52" i="2"/>
  <c r="F58" i="2" s="1"/>
  <c r="F56" i="2"/>
  <c r="G49" i="2"/>
  <c r="N62" i="3"/>
  <c r="N59" i="3"/>
  <c r="F43" i="2"/>
  <c r="F40" i="2"/>
  <c r="D82" i="2"/>
  <c r="D85" i="2"/>
  <c r="N39" i="3"/>
  <c r="N42" i="3"/>
  <c r="C89" i="3"/>
  <c r="C91" i="3" s="1"/>
  <c r="C37" i="1" s="1"/>
  <c r="H83" i="3"/>
  <c r="H89" i="3" s="1"/>
  <c r="H79" i="3"/>
  <c r="F99" i="2"/>
  <c r="F96" i="2"/>
  <c r="C149" i="2"/>
  <c r="K83" i="3"/>
  <c r="K79" i="3"/>
  <c r="F108" i="2"/>
  <c r="F114" i="2" s="1"/>
  <c r="F112" i="2"/>
  <c r="G105" i="2"/>
  <c r="D150" i="2"/>
  <c r="D31" i="1"/>
  <c r="E26" i="2"/>
  <c r="E29" i="2"/>
  <c r="F83" i="3"/>
  <c r="F89" i="3" s="1"/>
  <c r="F91" i="3" s="1"/>
  <c r="F37" i="1" s="1"/>
  <c r="F79" i="3"/>
  <c r="G77" i="2"/>
  <c r="F80" i="2"/>
  <c r="F86" i="2" s="1"/>
  <c r="F84" i="2"/>
  <c r="K31" i="3"/>
  <c r="K28" i="3"/>
  <c r="L27" i="3"/>
  <c r="E83" i="3"/>
  <c r="E79" i="3"/>
  <c r="M83" i="3"/>
  <c r="M79" i="3"/>
  <c r="F28" i="2"/>
  <c r="G21" i="2"/>
  <c r="F24" i="2"/>
  <c r="F30" i="2" s="1"/>
  <c r="D54" i="2"/>
  <c r="D57" i="2"/>
  <c r="F14" i="2"/>
  <c r="G7" i="2"/>
  <c r="F10" i="2"/>
  <c r="F16" i="2" s="1"/>
  <c r="D89" i="3"/>
  <c r="D91" i="3" s="1"/>
  <c r="D37" i="1" s="1"/>
  <c r="L83" i="3"/>
  <c r="L79" i="3"/>
  <c r="E89" i="3"/>
  <c r="E91" i="3" s="1"/>
  <c r="E37" i="1" s="1"/>
  <c r="I88" i="3"/>
  <c r="I90" i="3" s="1"/>
  <c r="I36" i="1" s="1"/>
  <c r="N71" i="3"/>
  <c r="N68" i="3"/>
  <c r="C147" i="2"/>
  <c r="G133" i="2"/>
  <c r="F140" i="2"/>
  <c r="F136" i="2"/>
  <c r="F142" i="2" s="1"/>
  <c r="G91" i="3" l="1"/>
  <c r="G37" i="1" s="1"/>
  <c r="K90" i="3"/>
  <c r="K36" i="1" s="1"/>
  <c r="F109" i="2"/>
  <c r="G95" i="2"/>
  <c r="G96" i="2" s="1"/>
  <c r="F90" i="3"/>
  <c r="F36" i="1" s="1"/>
  <c r="H90" i="3"/>
  <c r="H36" i="1" s="1"/>
  <c r="F123" i="2"/>
  <c r="F127" i="2" s="1"/>
  <c r="D40" i="1"/>
  <c r="D34" i="1"/>
  <c r="E32" i="1"/>
  <c r="E38" i="1"/>
  <c r="E35" i="1"/>
  <c r="F149" i="2"/>
  <c r="F11" i="2"/>
  <c r="F124" i="2"/>
  <c r="H38" i="2"/>
  <c r="H44" i="2" s="1"/>
  <c r="H42" i="2"/>
  <c r="I35" i="2"/>
  <c r="F25" i="2"/>
  <c r="F113" i="2"/>
  <c r="F110" i="2"/>
  <c r="H21" i="2"/>
  <c r="G28" i="2"/>
  <c r="G24" i="2"/>
  <c r="G30" i="2" s="1"/>
  <c r="H77" i="2"/>
  <c r="G84" i="2"/>
  <c r="G80" i="2"/>
  <c r="G86" i="2" s="1"/>
  <c r="F71" i="2"/>
  <c r="F68" i="2"/>
  <c r="J90" i="3"/>
  <c r="J36" i="1" s="1"/>
  <c r="H133" i="2"/>
  <c r="G140" i="2"/>
  <c r="G136" i="2"/>
  <c r="G142" i="2" s="1"/>
  <c r="F147" i="2"/>
  <c r="F31" i="1" s="1"/>
  <c r="D35" i="1"/>
  <c r="D38" i="1"/>
  <c r="D39" i="1" s="1"/>
  <c r="I91" i="3"/>
  <c r="I37" i="1" s="1"/>
  <c r="E148" i="2"/>
  <c r="E33" i="1" s="1"/>
  <c r="N72" i="3"/>
  <c r="N69" i="3"/>
  <c r="G56" i="2"/>
  <c r="H49" i="2"/>
  <c r="G52" i="2"/>
  <c r="G58" i="2" s="1"/>
  <c r="G122" i="2"/>
  <c r="G128" i="2" s="1"/>
  <c r="H119" i="2"/>
  <c r="G126" i="2"/>
  <c r="G43" i="2"/>
  <c r="G40" i="2"/>
  <c r="G71" i="2"/>
  <c r="G68" i="2"/>
  <c r="I63" i="2"/>
  <c r="H66" i="2"/>
  <c r="H72" i="2" s="1"/>
  <c r="H70" i="2"/>
  <c r="H67" i="2"/>
  <c r="H94" i="2"/>
  <c r="H100" i="2" s="1"/>
  <c r="H98" i="2"/>
  <c r="I91" i="2"/>
  <c r="G99" i="2"/>
  <c r="F137" i="2"/>
  <c r="H7" i="2"/>
  <c r="G14" i="2"/>
  <c r="G10" i="2"/>
  <c r="G16" i="2" s="1"/>
  <c r="L31" i="3"/>
  <c r="L88" i="3" s="1"/>
  <c r="L90" i="3" s="1"/>
  <c r="L36" i="1" s="1"/>
  <c r="L28" i="3"/>
  <c r="M27" i="3"/>
  <c r="C150" i="2"/>
  <c r="C31" i="1"/>
  <c r="C38" i="1" s="1"/>
  <c r="C39" i="1" s="1"/>
  <c r="K32" i="3"/>
  <c r="K89" i="3" s="1"/>
  <c r="K91" i="3" s="1"/>
  <c r="K37" i="1" s="1"/>
  <c r="K29" i="3"/>
  <c r="F81" i="2"/>
  <c r="G112" i="2"/>
  <c r="H105" i="2"/>
  <c r="G108" i="2"/>
  <c r="G114" i="2" s="1"/>
  <c r="H91" i="3"/>
  <c r="H37" i="1" s="1"/>
  <c r="F53" i="2"/>
  <c r="H39" i="2" l="1"/>
  <c r="H43" i="2" s="1"/>
  <c r="G81" i="2"/>
  <c r="H95" i="2"/>
  <c r="G123" i="2"/>
  <c r="G127" i="2" s="1"/>
  <c r="G124" i="2"/>
  <c r="M31" i="3"/>
  <c r="M88" i="3" s="1"/>
  <c r="M90" i="3" s="1"/>
  <c r="M36" i="1" s="1"/>
  <c r="M28" i="3"/>
  <c r="N27" i="3"/>
  <c r="I119" i="2"/>
  <c r="H126" i="2"/>
  <c r="H122" i="2"/>
  <c r="H128" i="2" s="1"/>
  <c r="D32" i="1"/>
  <c r="H84" i="2"/>
  <c r="I77" i="2"/>
  <c r="H80" i="2"/>
  <c r="H86" i="2" s="1"/>
  <c r="H81" i="2"/>
  <c r="H99" i="2"/>
  <c r="H96" i="2"/>
  <c r="G25" i="2"/>
  <c r="I49" i="2"/>
  <c r="H52" i="2"/>
  <c r="H58" i="2" s="1"/>
  <c r="H56" i="2"/>
  <c r="H53" i="2"/>
  <c r="H28" i="2"/>
  <c r="H24" i="2"/>
  <c r="H30" i="2" s="1"/>
  <c r="I21" i="2"/>
  <c r="G109" i="2"/>
  <c r="G147" i="2"/>
  <c r="G31" i="1" s="1"/>
  <c r="J63" i="2"/>
  <c r="I66" i="2"/>
  <c r="I72" i="2" s="1"/>
  <c r="I70" i="2"/>
  <c r="H140" i="2"/>
  <c r="H136" i="2"/>
  <c r="H142" i="2" s="1"/>
  <c r="H137" i="2"/>
  <c r="I133" i="2"/>
  <c r="E39" i="1"/>
  <c r="F38" i="1"/>
  <c r="I94" i="2"/>
  <c r="I100" i="2" s="1"/>
  <c r="I98" i="2"/>
  <c r="I95" i="2"/>
  <c r="J91" i="2"/>
  <c r="F57" i="2"/>
  <c r="F54" i="2"/>
  <c r="L32" i="3"/>
  <c r="L89" i="3" s="1"/>
  <c r="L91" i="3" s="1"/>
  <c r="L37" i="1" s="1"/>
  <c r="L29" i="3"/>
  <c r="H71" i="2"/>
  <c r="H68" i="2"/>
  <c r="F12" i="2"/>
  <c r="F15" i="2"/>
  <c r="G137" i="2"/>
  <c r="H112" i="2"/>
  <c r="I105" i="2"/>
  <c r="H108" i="2"/>
  <c r="H114" i="2" s="1"/>
  <c r="G53" i="2"/>
  <c r="F82" i="2"/>
  <c r="F85" i="2"/>
  <c r="F26" i="2"/>
  <c r="F29" i="2"/>
  <c r="G82" i="2"/>
  <c r="G85" i="2"/>
  <c r="F35" i="1"/>
  <c r="F32" i="1"/>
  <c r="G149" i="2"/>
  <c r="G11" i="2"/>
  <c r="I7" i="2"/>
  <c r="H14" i="2"/>
  <c r="H10" i="2"/>
  <c r="H16" i="2" s="1"/>
  <c r="F138" i="2"/>
  <c r="F141" i="2"/>
  <c r="E34" i="1"/>
  <c r="E40" i="1"/>
  <c r="I38" i="2"/>
  <c r="I44" i="2" s="1"/>
  <c r="I42" i="2"/>
  <c r="I39" i="2"/>
  <c r="J35" i="2"/>
  <c r="H40" i="2" l="1"/>
  <c r="H149" i="2"/>
  <c r="I140" i="2"/>
  <c r="I136" i="2"/>
  <c r="I142" i="2" s="1"/>
  <c r="I137" i="2"/>
  <c r="J133" i="2"/>
  <c r="H147" i="2"/>
  <c r="H31" i="1" s="1"/>
  <c r="H138" i="2"/>
  <c r="H141" i="2"/>
  <c r="H11" i="2"/>
  <c r="H57" i="2"/>
  <c r="H54" i="2"/>
  <c r="I10" i="2"/>
  <c r="I16" i="2" s="1"/>
  <c r="I149" i="2" s="1"/>
  <c r="I14" i="2"/>
  <c r="J7" i="2"/>
  <c r="I112" i="2"/>
  <c r="I108" i="2"/>
  <c r="I114" i="2" s="1"/>
  <c r="J105" i="2"/>
  <c r="H123" i="2"/>
  <c r="I43" i="2"/>
  <c r="I40" i="2"/>
  <c r="N28" i="3"/>
  <c r="N31" i="3"/>
  <c r="N88" i="3" s="1"/>
  <c r="N90" i="3" s="1"/>
  <c r="N36" i="1" s="1"/>
  <c r="M32" i="3"/>
  <c r="M89" i="3" s="1"/>
  <c r="M91" i="3" s="1"/>
  <c r="M37" i="1" s="1"/>
  <c r="M29" i="3"/>
  <c r="I24" i="2"/>
  <c r="I30" i="2" s="1"/>
  <c r="I28" i="2"/>
  <c r="I25" i="2"/>
  <c r="J21" i="2"/>
  <c r="I84" i="2"/>
  <c r="I80" i="2"/>
  <c r="I86" i="2" s="1"/>
  <c r="J77" i="2"/>
  <c r="I81" i="2"/>
  <c r="G57" i="2"/>
  <c r="G54" i="2"/>
  <c r="J42" i="2"/>
  <c r="K35" i="2"/>
  <c r="J38" i="2"/>
  <c r="J44" i="2" s="1"/>
  <c r="G15" i="2"/>
  <c r="G12" i="2"/>
  <c r="J98" i="2"/>
  <c r="K91" i="2"/>
  <c r="J94" i="2"/>
  <c r="J100" i="2" s="1"/>
  <c r="H109" i="2"/>
  <c r="I99" i="2"/>
  <c r="I96" i="2"/>
  <c r="I56" i="2"/>
  <c r="J49" i="2"/>
  <c r="I52" i="2"/>
  <c r="I58" i="2" s="1"/>
  <c r="I53" i="2"/>
  <c r="J119" i="2"/>
  <c r="I126" i="2"/>
  <c r="I122" i="2"/>
  <c r="I128" i="2" s="1"/>
  <c r="I67" i="2"/>
  <c r="G29" i="2"/>
  <c r="G26" i="2"/>
  <c r="G138" i="2"/>
  <c r="G141" i="2"/>
  <c r="K63" i="2"/>
  <c r="J66" i="2"/>
  <c r="J72" i="2" s="1"/>
  <c r="J70" i="2"/>
  <c r="F148" i="2"/>
  <c r="F33" i="1" s="1"/>
  <c r="G35" i="1"/>
  <c r="G32" i="1"/>
  <c r="G113" i="2"/>
  <c r="G110" i="2"/>
  <c r="H82" i="2"/>
  <c r="H85" i="2"/>
  <c r="F39" i="1"/>
  <c r="G38" i="1"/>
  <c r="H25" i="2"/>
  <c r="J39" i="2" l="1"/>
  <c r="I11" i="2"/>
  <c r="J95" i="2"/>
  <c r="I123" i="2"/>
  <c r="I15" i="2"/>
  <c r="I12" i="2"/>
  <c r="H113" i="2"/>
  <c r="H110" i="2"/>
  <c r="I71" i="2"/>
  <c r="I68" i="2"/>
  <c r="J112" i="2"/>
  <c r="J108" i="2"/>
  <c r="J114" i="2" s="1"/>
  <c r="K105" i="2"/>
  <c r="H38" i="1"/>
  <c r="G39" i="1"/>
  <c r="K119" i="2"/>
  <c r="J126" i="2"/>
  <c r="J122" i="2"/>
  <c r="J128" i="2" s="1"/>
  <c r="J24" i="2"/>
  <c r="J30" i="2" s="1"/>
  <c r="J28" i="2"/>
  <c r="K21" i="2"/>
  <c r="G148" i="2"/>
  <c r="G33" i="1" s="1"/>
  <c r="I109" i="2"/>
  <c r="I138" i="2"/>
  <c r="I141" i="2"/>
  <c r="N29" i="3"/>
  <c r="N32" i="3"/>
  <c r="N89" i="3" s="1"/>
  <c r="N91" i="3" s="1"/>
  <c r="N37" i="1" s="1"/>
  <c r="J80" i="2"/>
  <c r="J86" i="2" s="1"/>
  <c r="J84" i="2"/>
  <c r="J81" i="2"/>
  <c r="K77" i="2"/>
  <c r="H124" i="2"/>
  <c r="H127" i="2"/>
  <c r="H35" i="1"/>
  <c r="H32" i="1"/>
  <c r="I57" i="2"/>
  <c r="I54" i="2"/>
  <c r="I29" i="2"/>
  <c r="I26" i="2"/>
  <c r="J136" i="2"/>
  <c r="J142" i="2" s="1"/>
  <c r="J137" i="2"/>
  <c r="J140" i="2"/>
  <c r="K133" i="2"/>
  <c r="J67" i="2"/>
  <c r="K66" i="2"/>
  <c r="K72" i="2" s="1"/>
  <c r="K70" i="2"/>
  <c r="L63" i="2"/>
  <c r="J56" i="2"/>
  <c r="J52" i="2"/>
  <c r="J58" i="2" s="1"/>
  <c r="J53" i="2"/>
  <c r="K49" i="2"/>
  <c r="L35" i="2"/>
  <c r="K38" i="2"/>
  <c r="K44" i="2" s="1"/>
  <c r="K39" i="2"/>
  <c r="K42" i="2"/>
  <c r="K7" i="2"/>
  <c r="J10" i="2"/>
  <c r="J16" i="2" s="1"/>
  <c r="J14" i="2"/>
  <c r="J147" i="2" s="1"/>
  <c r="J31" i="1" s="1"/>
  <c r="F34" i="1"/>
  <c r="F40" i="1"/>
  <c r="I85" i="2"/>
  <c r="I82" i="2"/>
  <c r="L91" i="2"/>
  <c r="K94" i="2"/>
  <c r="K100" i="2" s="1"/>
  <c r="K98" i="2"/>
  <c r="H15" i="2"/>
  <c r="H12" i="2"/>
  <c r="H29" i="2"/>
  <c r="H26" i="2"/>
  <c r="J43" i="2"/>
  <c r="J40" i="2"/>
  <c r="I147" i="2"/>
  <c r="I31" i="1" s="1"/>
  <c r="J149" i="2" l="1"/>
  <c r="J109" i="2"/>
  <c r="J113" i="2" s="1"/>
  <c r="G34" i="1"/>
  <c r="G40" i="1"/>
  <c r="M91" i="2"/>
  <c r="L94" i="2"/>
  <c r="L100" i="2" s="1"/>
  <c r="L98" i="2"/>
  <c r="L95" i="2"/>
  <c r="I110" i="2"/>
  <c r="I113" i="2"/>
  <c r="I148" i="2" s="1"/>
  <c r="I33" i="1" s="1"/>
  <c r="L105" i="2"/>
  <c r="K112" i="2"/>
  <c r="K108" i="2"/>
  <c r="K114" i="2" s="1"/>
  <c r="K109" i="2"/>
  <c r="K67" i="2"/>
  <c r="J68" i="2"/>
  <c r="J71" i="2"/>
  <c r="K80" i="2"/>
  <c r="K86" i="2" s="1"/>
  <c r="K84" i="2"/>
  <c r="K81" i="2"/>
  <c r="L77" i="2"/>
  <c r="L38" i="2"/>
  <c r="L44" i="2" s="1"/>
  <c r="M35" i="2"/>
  <c r="L42" i="2"/>
  <c r="L119" i="2"/>
  <c r="K122" i="2"/>
  <c r="K128" i="2" s="1"/>
  <c r="K126" i="2"/>
  <c r="J32" i="1"/>
  <c r="J35" i="1"/>
  <c r="H148" i="2"/>
  <c r="H33" i="1" s="1"/>
  <c r="K136" i="2"/>
  <c r="K142" i="2" s="1"/>
  <c r="K140" i="2"/>
  <c r="K137" i="2"/>
  <c r="L133" i="2"/>
  <c r="J82" i="2"/>
  <c r="J85" i="2"/>
  <c r="K95" i="2"/>
  <c r="J141" i="2"/>
  <c r="J138" i="2"/>
  <c r="J123" i="2"/>
  <c r="I124" i="2"/>
  <c r="I127" i="2"/>
  <c r="J110" i="2"/>
  <c r="K10" i="2"/>
  <c r="K16" i="2" s="1"/>
  <c r="K14" i="2"/>
  <c r="L7" i="2"/>
  <c r="K28" i="2"/>
  <c r="K24" i="2"/>
  <c r="K30" i="2" s="1"/>
  <c r="L21" i="2"/>
  <c r="K43" i="2"/>
  <c r="K40" i="2"/>
  <c r="J25" i="2"/>
  <c r="L49" i="2"/>
  <c r="K52" i="2"/>
  <c r="K58" i="2" s="1"/>
  <c r="K56" i="2"/>
  <c r="K53" i="2"/>
  <c r="I35" i="1"/>
  <c r="I32" i="1"/>
  <c r="J54" i="2"/>
  <c r="J57" i="2"/>
  <c r="J11" i="2"/>
  <c r="M63" i="2"/>
  <c r="L70" i="2"/>
  <c r="L66" i="2"/>
  <c r="L72" i="2" s="1"/>
  <c r="I38" i="1"/>
  <c r="H39" i="1"/>
  <c r="J99" i="2"/>
  <c r="J96" i="2"/>
  <c r="K11" i="2" l="1"/>
  <c r="K123" i="2"/>
  <c r="K127" i="2" s="1"/>
  <c r="I40" i="1"/>
  <c r="I34" i="1"/>
  <c r="L96" i="2"/>
  <c r="L99" i="2"/>
  <c r="K25" i="2"/>
  <c r="K113" i="2"/>
  <c r="K110" i="2"/>
  <c r="J29" i="2"/>
  <c r="J26" i="2"/>
  <c r="L136" i="2"/>
  <c r="L142" i="2" s="1"/>
  <c r="L140" i="2"/>
  <c r="M133" i="2"/>
  <c r="M66" i="2"/>
  <c r="M72" i="2" s="1"/>
  <c r="M70" i="2"/>
  <c r="N63" i="2"/>
  <c r="M67" i="2"/>
  <c r="K141" i="2"/>
  <c r="K138" i="2"/>
  <c r="M38" i="2"/>
  <c r="M44" i="2" s="1"/>
  <c r="N35" i="2"/>
  <c r="M42" i="2"/>
  <c r="L67" i="2"/>
  <c r="M105" i="2"/>
  <c r="L108" i="2"/>
  <c r="L114" i="2" s="1"/>
  <c r="L109" i="2"/>
  <c r="L112" i="2"/>
  <c r="J15" i="2"/>
  <c r="J12" i="2"/>
  <c r="L28" i="2"/>
  <c r="L24" i="2"/>
  <c r="L30" i="2" s="1"/>
  <c r="M21" i="2"/>
  <c r="K12" i="2"/>
  <c r="K15" i="2"/>
  <c r="K54" i="2"/>
  <c r="K57" i="2"/>
  <c r="L10" i="2"/>
  <c r="L16" i="2" s="1"/>
  <c r="L11" i="2"/>
  <c r="M7" i="2"/>
  <c r="L14" i="2"/>
  <c r="N91" i="2"/>
  <c r="M94" i="2"/>
  <c r="M100" i="2" s="1"/>
  <c r="M98" i="2"/>
  <c r="K147" i="2"/>
  <c r="K31" i="1" s="1"/>
  <c r="K99" i="2"/>
  <c r="K96" i="2"/>
  <c r="M49" i="2"/>
  <c r="L56" i="2"/>
  <c r="L52" i="2"/>
  <c r="L58" i="2" s="1"/>
  <c r="L53" i="2"/>
  <c r="L39" i="2"/>
  <c r="H40" i="1"/>
  <c r="H34" i="1"/>
  <c r="L80" i="2"/>
  <c r="L86" i="2" s="1"/>
  <c r="L84" i="2"/>
  <c r="M77" i="2"/>
  <c r="K85" i="2"/>
  <c r="K82" i="2"/>
  <c r="J127" i="2"/>
  <c r="J124" i="2"/>
  <c r="J38" i="1"/>
  <c r="I39" i="1"/>
  <c r="K149" i="2"/>
  <c r="L126" i="2"/>
  <c r="L123" i="2"/>
  <c r="M119" i="2"/>
  <c r="L122" i="2"/>
  <c r="L128" i="2" s="1"/>
  <c r="K68" i="2"/>
  <c r="K71" i="2"/>
  <c r="K124" i="2" l="1"/>
  <c r="M95" i="2"/>
  <c r="L25" i="2"/>
  <c r="M39" i="2"/>
  <c r="M43" i="2" s="1"/>
  <c r="M122" i="2"/>
  <c r="M128" i="2" s="1"/>
  <c r="M126" i="2"/>
  <c r="M123" i="2"/>
  <c r="N119" i="2"/>
  <c r="M28" i="2"/>
  <c r="M24" i="2"/>
  <c r="M30" i="2" s="1"/>
  <c r="N21" i="2"/>
  <c r="N98" i="2"/>
  <c r="N94" i="2"/>
  <c r="N100" i="2" s="1"/>
  <c r="L124" i="2"/>
  <c r="L127" i="2"/>
  <c r="L43" i="2"/>
  <c r="L40" i="2"/>
  <c r="M96" i="2"/>
  <c r="M99" i="2"/>
  <c r="M14" i="2"/>
  <c r="M10" i="2"/>
  <c r="M16" i="2" s="1"/>
  <c r="N7" i="2"/>
  <c r="M68" i="2"/>
  <c r="M71" i="2"/>
  <c r="L12" i="2"/>
  <c r="L15" i="2"/>
  <c r="L113" i="2"/>
  <c r="L110" i="2"/>
  <c r="N105" i="2"/>
  <c r="M108" i="2"/>
  <c r="M114" i="2" s="1"/>
  <c r="M109" i="2"/>
  <c r="M112" i="2"/>
  <c r="M140" i="2"/>
  <c r="M136" i="2"/>
  <c r="M142" i="2" s="1"/>
  <c r="N133" i="2"/>
  <c r="M40" i="2"/>
  <c r="N38" i="2"/>
  <c r="N44" i="2" s="1"/>
  <c r="N42" i="2"/>
  <c r="N39" i="2"/>
  <c r="L147" i="2"/>
  <c r="L31" i="1" s="1"/>
  <c r="K38" i="1"/>
  <c r="J39" i="1"/>
  <c r="J148" i="2"/>
  <c r="J33" i="1" s="1"/>
  <c r="N49" i="2"/>
  <c r="M56" i="2"/>
  <c r="M53" i="2"/>
  <c r="M52" i="2"/>
  <c r="M58" i="2" s="1"/>
  <c r="M84" i="2"/>
  <c r="M80" i="2"/>
  <c r="M86" i="2" s="1"/>
  <c r="N77" i="2"/>
  <c r="K148" i="2"/>
  <c r="K33" i="1" s="1"/>
  <c r="L68" i="2"/>
  <c r="L71" i="2"/>
  <c r="L137" i="2"/>
  <c r="L29" i="2"/>
  <c r="L26" i="2"/>
  <c r="L54" i="2"/>
  <c r="L57" i="2"/>
  <c r="K26" i="2"/>
  <c r="K29" i="2"/>
  <c r="N66" i="2"/>
  <c r="N72" i="2" s="1"/>
  <c r="N70" i="2"/>
  <c r="N67" i="2"/>
  <c r="L149" i="2"/>
  <c r="L81" i="2"/>
  <c r="K32" i="1"/>
  <c r="K35" i="1"/>
  <c r="M147" i="2" l="1"/>
  <c r="M31" i="1" s="1"/>
  <c r="N95" i="2"/>
  <c r="N99" i="2" s="1"/>
  <c r="L38" i="1"/>
  <c r="K39" i="1"/>
  <c r="M57" i="2"/>
  <c r="M54" i="2"/>
  <c r="N136" i="2"/>
  <c r="N142" i="2" s="1"/>
  <c r="N137" i="2"/>
  <c r="N140" i="2"/>
  <c r="N52" i="2"/>
  <c r="N58" i="2" s="1"/>
  <c r="N56" i="2"/>
  <c r="N53" i="2"/>
  <c r="M137" i="2"/>
  <c r="N10" i="2"/>
  <c r="N16" i="2" s="1"/>
  <c r="N14" i="2"/>
  <c r="L141" i="2"/>
  <c r="L138" i="2"/>
  <c r="J34" i="1"/>
  <c r="J40" i="1"/>
  <c r="M149" i="2"/>
  <c r="L85" i="2"/>
  <c r="L148" i="2" s="1"/>
  <c r="L33" i="1" s="1"/>
  <c r="L82" i="2"/>
  <c r="M11" i="2"/>
  <c r="M32" i="1"/>
  <c r="N68" i="2"/>
  <c r="N71" i="2"/>
  <c r="L35" i="1"/>
  <c r="L32" i="1"/>
  <c r="N28" i="2"/>
  <c r="N24" i="2"/>
  <c r="N30" i="2" s="1"/>
  <c r="N80" i="2"/>
  <c r="N86" i="2" s="1"/>
  <c r="N81" i="2"/>
  <c r="N84" i="2"/>
  <c r="N40" i="2"/>
  <c r="N43" i="2"/>
  <c r="N108" i="2"/>
  <c r="N114" i="2" s="1"/>
  <c r="N112" i="2"/>
  <c r="M81" i="2"/>
  <c r="M25" i="2"/>
  <c r="N122" i="2"/>
  <c r="N128" i="2" s="1"/>
  <c r="N126" i="2"/>
  <c r="N123" i="2"/>
  <c r="M113" i="2"/>
  <c r="M110" i="2"/>
  <c r="K34" i="1"/>
  <c r="K40" i="1"/>
  <c r="M124" i="2"/>
  <c r="M127" i="2"/>
  <c r="N96" i="2" l="1"/>
  <c r="M35" i="1"/>
  <c r="L34" i="1"/>
  <c r="L40" i="1"/>
  <c r="N124" i="2"/>
  <c r="N127" i="2"/>
  <c r="N25" i="2"/>
  <c r="N141" i="2"/>
  <c r="N138" i="2"/>
  <c r="N85" i="2"/>
  <c r="N82" i="2"/>
  <c r="N109" i="2"/>
  <c r="N149" i="2"/>
  <c r="M12" i="2"/>
  <c r="M15" i="2"/>
  <c r="M29" i="2"/>
  <c r="M26" i="2"/>
  <c r="M85" i="2"/>
  <c r="M82" i="2"/>
  <c r="N147" i="2"/>
  <c r="N31" i="1" s="1"/>
  <c r="N11" i="2"/>
  <c r="N57" i="2"/>
  <c r="N54" i="2"/>
  <c r="M141" i="2"/>
  <c r="M138" i="2"/>
  <c r="M38" i="1"/>
  <c r="L39" i="1"/>
  <c r="M39" i="1" l="1"/>
  <c r="N38" i="1"/>
  <c r="N39" i="1" s="1"/>
  <c r="N113" i="2"/>
  <c r="N110" i="2"/>
  <c r="N32" i="1"/>
  <c r="N35" i="1"/>
  <c r="N15" i="2"/>
  <c r="N12" i="2"/>
  <c r="N29" i="2"/>
  <c r="N26" i="2"/>
  <c r="M148" i="2"/>
  <c r="M33" i="1" s="1"/>
  <c r="N148" i="2" l="1"/>
  <c r="N33" i="1" s="1"/>
  <c r="M40" i="1"/>
  <c r="M34" i="1"/>
  <c r="N40" i="1"/>
  <c r="N34" i="1"/>
  <c r="D53" i="1"/>
  <c r="E53" i="1"/>
  <c r="C53" i="1"/>
  <c r="F62" i="1" l="1"/>
  <c r="C62" i="1"/>
  <c r="F59" i="1"/>
  <c r="E48" i="1"/>
  <c r="E49" i="1" s="1"/>
  <c r="F63" i="1"/>
  <c r="G60" i="1"/>
  <c r="D58" i="1"/>
  <c r="D63" i="1"/>
  <c r="E63" i="1"/>
  <c r="F60" i="1"/>
  <c r="C58" i="1"/>
  <c r="E60" i="1"/>
  <c r="C63" i="1"/>
  <c r="D60" i="1"/>
  <c r="F61" i="1"/>
  <c r="C59" i="1"/>
  <c r="G61" i="1"/>
  <c r="E61" i="1"/>
  <c r="D61" i="1"/>
  <c r="C60" i="1"/>
  <c r="G59" i="1"/>
  <c r="E59" i="1"/>
  <c r="D48" i="1"/>
  <c r="D49" i="1" s="1"/>
  <c r="C61" i="1"/>
  <c r="E58" i="1"/>
  <c r="E62" i="1"/>
  <c r="D59" i="1"/>
  <c r="C48" i="1"/>
  <c r="C49" i="1" s="1"/>
  <c r="F58" i="1"/>
  <c r="G63" i="1"/>
  <c r="G62" i="1"/>
  <c r="D62" i="1"/>
  <c r="G58" i="1"/>
  <c r="D47" i="1"/>
  <c r="C47" i="1"/>
  <c r="C50" i="1" s="1"/>
  <c r="C51" i="1" s="1"/>
  <c r="E47" i="1"/>
  <c r="E50" i="1" s="1"/>
  <c r="E51" i="1" s="1"/>
  <c r="D50" i="1" l="1"/>
  <c r="D51" i="1" s="1"/>
  <c r="C52" i="1"/>
  <c r="E52" i="1"/>
  <c r="D52" i="1" l="1"/>
</calcChain>
</file>

<file path=xl/sharedStrings.xml><?xml version="1.0" encoding="utf-8"?>
<sst xmlns="http://schemas.openxmlformats.org/spreadsheetml/2006/main" count="701" uniqueCount="194">
  <si>
    <t>Financials - analysts' projections, aggregated (index points)</t>
  </si>
  <si>
    <t>Net income and dividends of the XP Financials models (R$ mn, files in inputs/analyst_models/Financials/). After a model's last year: net income grows at g and the payout stays at its last value, as the model's own perpetuity. Index points = R$ x the member's index points / market cap (Members sheet of the main model, Oct-5-2026).</t>
  </si>
  <si>
    <t>Legend:</t>
  </si>
  <si>
    <t>input</t>
  </si>
  <si>
    <t>assumption</t>
  </si>
  <si>
    <t>formula</t>
  </si>
  <si>
    <t>Itaú Unibanco (ITUB4)  |  ITUB Model Official 2Q26_vCSStrategy.xlsx</t>
  </si>
  <si>
    <t>Line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</si>
  <si>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</si>
  <si>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</si>
  <si>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</si>
  <si>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</si>
  <si>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</si>
  <si>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</si>
  <si>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</si>
  <si>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</si>
  <si>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</si>
  <si>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</si>
  <si>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</si>
  <si>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</si>
  <si>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How it is calculated / source</t>
  </si>
  <si>
    <t>Net income (R$ mn)</t>
  </si>
  <si>
    <t xml:space="preserve">Model: Income Statement r61 Recurring Net Income. </t>
  </si>
  <si>
    <t>Dividends + IoC (R$ mn)</t>
  </si>
  <si>
    <t xml:space="preserve">Model: Income Statement r66 Dividends/IoC Provisioned. </t>
  </si>
  <si>
    <t>Payout</t>
  </si>
  <si>
    <t>Dividends / net income.</t>
  </si>
  <si>
    <t>Index points / market cap (R$ mn)</t>
  </si>
  <si>
    <t>C: index points (Members); D: market cap (Members); E: factor that turns R$ mn into index points.</t>
  </si>
  <si>
    <t>Net income (index pts)</t>
  </si>
  <si>
    <t>Dividends (index pts)</t>
  </si>
  <si>
    <t>Bradesco (BBDC4 + BBDC3)  |  BBDC Model Official 2Q26_vCSStrategy.xlsx</t>
  </si>
  <si>
    <t xml:space="preserve">Model: Income Statement r73 Recurring Net Income. </t>
  </si>
  <si>
    <t xml:space="preserve">Model: Income Statement r78 Dividends/IoC Provisioned - Net. </t>
  </si>
  <si>
    <t>B3 (B3SA3)  |  B3SA3 Model Official 3Q25_vCSStrategy.xlsx</t>
  </si>
  <si>
    <t>Model: Income Statement r52 Recurring Net Income. After 2033: x (1 + g).</t>
  </si>
  <si>
    <t>Model: Income Statement r58 Dividends/IoC. After 2033: net income x the 2033 payout.</t>
  </si>
  <si>
    <t>BTG Pactual (BPAC11)  |  BPAC Model Official 3Q25_vCSStrategy.xlsx</t>
  </si>
  <si>
    <t>Model: Income Statement r50 Net Income. After 2036: x (1 + g).</t>
  </si>
  <si>
    <t>Model: Income Statement r56 Dividends/IoC. After 2036: net income x the 2036 payout.</t>
  </si>
  <si>
    <t>Banco do Brasil (BBAS3)  |  BBAS Model Official 2Q26_vCSStrategy.xlsx</t>
  </si>
  <si>
    <t xml:space="preserve">Model: = dividends / payout. </t>
  </si>
  <si>
    <t xml:space="preserve">Model: Valuation r5 Total Return; payout: Model r26. </t>
  </si>
  <si>
    <t>Model: Model r26 (input).</t>
  </si>
  <si>
    <t>Caixa Seguridade (CXSE3)  |  CXSE3 Model Official 3Q25_vCSStrategy.xlsx</t>
  </si>
  <si>
    <t>Model: Income Statement r54 Managerial Net Income (R$ thousand / 1,000). After 2036: x (1 + g).</t>
  </si>
  <si>
    <t>Model: Valuation r2 Dividend. After 2036: net income x the 2036 payout.</t>
  </si>
  <si>
    <t>Santander (SANB11)  |  SANB Model Official 4Q25_vCSStrategy.xlsx</t>
  </si>
  <si>
    <t>Model: IS r95 Recurring Net Income. After 2036: x (1 + g).</t>
  </si>
  <si>
    <t>Model: IS r103 Dividends/IoC Provisioned. After 2036: net income x the 2036 payout.</t>
  </si>
  <si>
    <t>Itaúsa (ITSA4)  |  no model: Itaú's net income path and payout (holding of Itaú)</t>
  </si>
  <si>
    <t>Net income (R$ mn) = consensus FY28 x Itaú's net income / Itaú's 2028</t>
  </si>
  <si>
    <t>Itaú's path scaled to Itaúsa's FY28 consensus (Members).</t>
  </si>
  <si>
    <t>Dividends (R$ mn) = net income x Itaú's payout</t>
  </si>
  <si>
    <t>Itaúsa net income FY28, Bloomberg consensus (R$ mn)</t>
  </si>
  <si>
    <t>Aggregate of the modeled members (index points): what the box takes from the analysts</t>
  </si>
  <si>
    <t>Net income growth</t>
  </si>
  <si>
    <t>Used for the box from 2029.</t>
  </si>
  <si>
    <t>Payout = dividends / net income</t>
  </si>
  <si>
    <t>Used for the box in every year.</t>
  </si>
  <si>
    <t>Coverage: index points of the modeled members / Financials box</t>
  </si>
  <si>
    <t>BB Seguridade and Porto Seguro have no model: they take the aggregate path.</t>
  </si>
  <si>
    <t>Financials - valuation parameters of the analysts' models</t>
  </si>
  <si>
    <t>Valuation sheet of each model. Ke = (NTN-B + long-term IPCA) x 0.85 + beta x ERP; g = long-term IPCA + real GDP (Macro sheet).</t>
  </si>
  <si>
    <t>Member</t>
  </si>
  <si>
    <t>Ke</t>
  </si>
  <si>
    <t>NTN-B</t>
  </si>
  <si>
    <t>IPCA LT</t>
  </si>
  <si>
    <t>Risk free = (NTN-B + IPCA) x 0.85</t>
  </si>
  <si>
    <t>ERP</t>
  </si>
  <si>
    <t>Beta</t>
  </si>
  <si>
    <t>g</t>
  </si>
  <si>
    <t>Perpetuity share of value</t>
  </si>
  <si>
    <t>Last explicit year</t>
  </si>
  <si>
    <t>Value date</t>
  </si>
  <si>
    <t>Index points</t>
  </si>
  <si>
    <t>ITUB4 + ITSA4</t>
  </si>
  <si>
    <t>End-2027</t>
  </si>
  <si>
    <t>BBDC4 + BBDC3</t>
  </si>
  <si>
    <t>B3SA3</t>
  </si>
  <si>
    <t>n/a</t>
  </si>
  <si>
    <t>BPAC11</t>
  </si>
  <si>
    <t>End-2026</t>
  </si>
  <si>
    <t>BBAS3</t>
  </si>
  <si>
    <t>CXSE3</t>
  </si>
  <si>
    <t>SANB11</t>
  </si>
  <si>
    <t>Weighted by index points</t>
  </si>
  <si>
    <t>Itaúsa takes Itaú's parameters; Bradesco's two share classes are added. Source: Valuation sheet of each file (Ke, NTN-B, risk free, ERP, beta, g, 'Perpetuity' = PV of the terminal value / fair equity value).</t>
  </si>
  <si>
    <t>Financials - member by member, the analysts' logic on the consensus</t>
  </si>
  <si>
    <t>Consensus net income and ROE FY26-28 (R$ mn; Bloomberg BEST, Oct-7-2026, Members sheet and dcf_members.parquet). 2029-37: ROE held at FY28; growth fades linearly from the 2028 growth to g in 2037; dividend = net income - change in book value. Index points = R$ x points / market cap.</t>
  </si>
  <si>
    <t>Itaú Unibanco (ITUB4)</t>
  </si>
  <si>
    <t>2026-28: consensus (BEST_NET_INCOME); then previous x (1 + growth).</t>
  </si>
  <si>
    <t>2027-28: consensus; 2029-37: linear from the 2028 growth to g in 2037.</t>
  </si>
  <si>
    <t>ROE</t>
  </si>
  <si>
    <t>2026-28: consensus (BEST_ROE); 2029-37: held at FY28, as the analysts keep ROE about flat.</t>
  </si>
  <si>
    <t>Book value = net income / ROE (R$ mn)</t>
  </si>
  <si>
    <t>Dividends = net income - change in book value (R$ mn)</t>
  </si>
  <si>
    <t>Clean surplus: what is not retained to grow the book value is paid out (dividends, IoC, buybacks).</t>
  </si>
  <si>
    <t>Converges to about 1 - g / ROE as growth reaches g.</t>
  </si>
  <si>
    <t>Members sheet of the main model (Oct-5-2026).</t>
  </si>
  <si>
    <t>Book value (index pts)</t>
  </si>
  <si>
    <t>Bradesco (BBDC4 + BBDC3)</t>
  </si>
  <si>
    <t>B3 (B3SA3)</t>
  </si>
  <si>
    <t>Itausa (ITSA4)</t>
  </si>
  <si>
    <t>ROE (no consensus: Itaú's ROE, editable)</t>
  </si>
  <si>
    <t>No BEST_ROE for the holding: Itaú's consensus ROE as a proxy (assumption).</t>
  </si>
  <si>
    <t>BTG Pactual (BPAC11)</t>
  </si>
  <si>
    <t>Banco do Brasil (BBAS3)</t>
  </si>
  <si>
    <t>BBSeguridade (BBSE3)</t>
  </si>
  <si>
    <t>Caixa Seguridade (CXSE3)</t>
  </si>
  <si>
    <t>Santander (SANB11)</t>
  </si>
  <si>
    <t>Porto Seguro (PSSA3)</t>
  </si>
  <si>
    <t>Financials box = sum of the members (index points)</t>
  </si>
  <si>
    <t>Net income</t>
  </si>
  <si>
    <t>Dividends</t>
  </si>
  <si>
    <t>Book value</t>
  </si>
  <si>
    <t>Check: net income vs. the box consensus of the main model (Box Shares!M7:O7)</t>
  </si>
  <si>
    <t>Should be 0.</t>
  </si>
  <si>
    <t>Financials - DDM with the analysts' logic and the consensus (end-2027)</t>
  </si>
  <si>
    <t>Dividends 2028-37 + Gordon perpetuity on the 2037 dividend, as the XP Financials models; numbers from the Bloomberg consensus member by member (Members DDM). Ke: the house rate by default.</t>
  </si>
  <si>
    <t>1. Assumptions</t>
  </si>
  <si>
    <t>Item</t>
  </si>
  <si>
    <t>Value</t>
  </si>
  <si>
    <t>Source / note</t>
  </si>
  <si>
    <t>Financials, index points today</t>
  </si>
  <si>
    <t>Members' weight x Ibovespa close of Oct-5-2026 (Box Shares!C7 of the main model).</t>
  </si>
  <si>
    <t>Perpetuity growth, house (g)</t>
  </si>
  <si>
    <t>House DCF (DCF Ibov 2026_Out.xlsx, Target!B54).</t>
  </si>
  <si>
    <t>Long-term IPCA</t>
  </si>
  <si>
    <t>Analysts' Macro sheet and the house (Target!B63).</t>
  </si>
  <si>
    <t>Long-term real GDP growth</t>
  </si>
  <si>
    <t>Analysts' Macro sheet.</t>
  </si>
  <si>
    <t>Perpetuity growth, analysts = IPCA + real GDP</t>
  </si>
  <si>
    <t>Analysts' rule (e.g., ITUB Valuation!F23).</t>
  </si>
  <si>
    <t>Convention: 1 = house (real rate + beta x ERP, house g); 2 = analysts ((NTN-B + IPCA) x 0.85 + beta x ERP, analysts' g)</t>
  </si>
  <si>
    <t>1 keeps Ke and g coherent with the other boxes and methods (Caio's choice). 2 reproduces the analysts' convention.</t>
  </si>
  <si>
    <t>g used</t>
  </si>
  <si>
    <t>Target of the growth fade (Members DDM) and the perpetuity.</t>
  </si>
  <si>
    <t>ERP, house</t>
  </si>
  <si>
    <t>House ERP (Target!B57).</t>
  </si>
  <si>
    <t>Beta of Financials (weekly, 5 years, computed from the local box index)</t>
  </si>
  <si>
    <t>Box Betas of the main model.</t>
  </si>
  <si>
    <t>Share of the risk free kept after tax (analysts' formula)</t>
  </si>
  <si>
    <t>Analysts: (NTN-B + IPCA) x 0.85.</t>
  </si>
  <si>
    <t>Beta and ERP of the analysts' models (weighted by index points)</t>
  </si>
  <si>
    <t>Model Parameters.</t>
  </si>
  <si>
    <t>Earnings beta x normalization (domestic cycle)</t>
  </si>
  <si>
    <t>Box Earnings!I7 and I16 of the main model: shock of Financials = C x D x the Ibovespa ex-Commodities shock.</t>
  </si>
  <si>
    <t>Projection: 1 = consensus with the analysts' logic (Members DDM); 2 = the analysts' own projections</t>
  </si>
  <si>
    <t>2 uses the analysts' aggregate growth and payout (Analyst Models) on the box consensus of 2026-28: a memo of what their numbers give.</t>
  </si>
  <si>
    <t>2.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</si>
  <si>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</si>
  <si>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</si>
  <si>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</si>
  <si>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</si>
  <si>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</si>
  <si>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</si>
  <si>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Ke, house = real rate + beta x ERP</t>
  </si>
  <si>
    <t>Box Rates of the main model (CAPM).</t>
  </si>
  <si>
    <t>Ke, analysts = (real rate + IPCA) x 0.85 + beta x ERP</t>
  </si>
  <si>
    <t>Ke used</t>
  </si>
  <si>
    <t>Ke - g</t>
  </si>
  <si>
    <t>3. Box projection (index points)</t>
  </si>
  <si>
    <t>Net income: consensus + analysts' logic (sum of the members)</t>
  </si>
  <si>
    <t>Members DDM.</t>
  </si>
  <si>
    <t>Dividends: consensus + analysts' logic</t>
  </si>
  <si>
    <t>ROE = net income / average book value</t>
  </si>
  <si>
    <t>Memo: analysts' aggregate net income growth</t>
  </si>
  <si>
    <t>Analyst Models.</t>
  </si>
  <si>
    <t>Memo: analysts' aggregate payout</t>
  </si>
  <si>
    <t>Memo: net income on the analysts' path (consensus 2026-28, then their growth)</t>
  </si>
  <si>
    <t>Memo: dividends on the analysts' path</t>
  </si>
  <si>
    <t>Dividends used (switch in row 19)</t>
  </si>
  <si>
    <t>4. Valuation at the end of 2027</t>
  </si>
  <si>
    <t>Earnings shock of the Ibovespa ex-Commodities</t>
  </si>
  <si>
    <t>Symmetric +/-20%, as the other boxes.</t>
  </si>
  <si>
    <t>Earnings shock of Financials = beta x normalization x shock</t>
  </si>
  <si>
    <t>Moves the dividends of every year.</t>
  </si>
  <si>
    <t>PV of dividends 2028-37 = (1 + shock) x NPV(Ke, dividends)</t>
  </si>
  <si>
    <t>NPV: 2028 discounted one year (value at end-2027).</t>
  </si>
  <si>
    <t>Terminal value at end-2037 = dividend 2037 x (1 + shock) x (1 + g) / (Ke - g)</t>
  </si>
  <si>
    <t>Gordon on the last explicit dividend, as the analysts.</t>
  </si>
  <si>
    <t>PV of the terminal value = TV / (1 + Ke) ^ 10</t>
  </si>
  <si>
    <t>The 2037 factor, as the analysts.</t>
  </si>
  <si>
    <t>Fair value of Financials at the end of 2027 (index pts)</t>
  </si>
  <si>
    <t>Upside vs. today</t>
  </si>
  <si>
    <t>Perpetuity share of the value</t>
  </si>
  <si>
    <t>Analysts' models: 42-52% (Model Parameters).</t>
  </si>
  <si>
    <t>Memo: upside with the analysts' own projections (row 39), same Ke and g</t>
  </si>
  <si>
    <t>Memo: upside in the unified DCF by box (main model, v7b)</t>
  </si>
  <si>
    <t>Ibov_house_2027_by_box_XP.xlsx, DCF by Box row 63 (FCFE, 4 explicit years, house g and rate).</t>
  </si>
  <si>
    <t>5. Base upside (no earnings shock): Ke (rows) x perpetuity g (columns); dividends 2028-37 as projected</t>
  </si>
  <si>
    <t>Ke \ g</t>
  </si>
  <si>
    <t>13.65% = house Ke in the base; ~15.1% = analysts' Ke in the base. 4.7% = house g; 6.0% = analysts'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</si>
</sst>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%"/>
    <numFmt numFmtId="166" formatCode="0.000"/>
    <numFmt numFmtId="167" formatCode="0.0&quot; pp&quot;"/>
    <numFmt numFmtId="168" formatCode="\+0.0%;\-0.0%;0.0%"/>
    <numFmt numFmtId="169" formatCode="0.000000"/>
  </numFmts>
  <fonts count="13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sz val="10"/>
      <color rgb="FF0070C0"/>
      <name val="Roboto"/>
      <family val="2"/>
    </font>
    <font>
      <b/>
      <sz val="10"/>
      <color rgb="FF0070C0"/>
      <name val="Roboto"/>
      <family val="2"/>
    </font>
    <font>
      <b/>
      <sz val="10"/>
      <color rgb="FF18191A"/>
      <name val="Roboto"/>
      <family val="2"/>
    </font>
    <font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165" fontId="9" fillId="2" borderId="1" xfId="0" applyNumberFormat="1" applyFont="1" applyFill="1" applyBorder="1" applyAlignment="1">
      <alignment vertical="center"/>
    </xf>
    <xf numFmtId="165" fontId="7" fillId="0" borderId="0" xfId="0" applyNumberFormat="1" applyFont="1" applyAlignment="1">
      <alignment vertical="center"/>
    </xf>
    <xf numFmtId="1" fontId="9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5" fontId="10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2" fontId="9" fillId="2" borderId="1" xfId="0" applyNumberFormat="1" applyFont="1" applyFill="1" applyBorder="1" applyAlignment="1">
      <alignment vertical="center"/>
    </xf>
    <xf numFmtId="166" fontId="7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10" fontId="9" fillId="2" borderId="1" xfId="0" applyNumberFormat="1" applyFont="1" applyFill="1" applyBorder="1" applyAlignment="1">
      <alignment vertical="center"/>
    </xf>
    <xf numFmtId="10" fontId="7" fillId="0" borderId="0" xfId="0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8" fontId="9" fillId="2" borderId="1" xfId="0" applyNumberFormat="1" applyFont="1" applyFill="1" applyBorder="1" applyAlignment="1">
      <alignment vertical="center"/>
    </xf>
    <xf numFmtId="168" fontId="7" fillId="0" borderId="0" xfId="0" applyNumberFormat="1" applyFont="1" applyAlignment="1">
      <alignment vertical="center"/>
    </xf>
    <xf numFmtId="168" fontId="10" fillId="0" borderId="0" xfId="0" applyNumberFormat="1" applyFont="1" applyAlignment="1">
      <alignment vertical="center"/>
    </xf>
    <xf numFmtId="168" fontId="8" fillId="0" borderId="0" xfId="0" applyNumberFormat="1" applyFont="1" applyAlignment="1">
      <alignment vertical="center"/>
    </xf>
    <xf numFmtId="165" fontId="6" fillId="3" borderId="0" xfId="0" applyNumberFormat="1" applyFont="1" applyFill="1" applyAlignment="1">
      <alignment horizontal="center" vertical="center"/>
    </xf>
    <xf numFmtId="10" fontId="10" fillId="0" borderId="0" xfId="0" applyNumberFormat="1" applyFont="1" applyAlignment="1">
      <alignment horizontal="left" vertical="center"/>
    </xf>
    <xf numFmtId="168" fontId="11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69" fontId="11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166" fontId="12" fillId="0" borderId="0" xfId="0" applyNumberFormat="1" applyFont="1" applyAlignment="1">
      <alignment vertical="center"/>
    </xf>
    <xf numFmtId="1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10" fontId="10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166" fontId="10" fillId="0" borderId="2" xfId="0" applyNumberFormat="1" applyFont="1" applyBorder="1" applyAlignment="1">
      <alignment vertical="center"/>
    </xf>
    <xf numFmtId="165" fontId="10" fillId="0" borderId="2" xfId="0" applyNumberFormat="1" applyFont="1" applyBorder="1" applyAlignment="1">
      <alignment vertical="center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65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118</v>
      </c>
    </row>
    <row r="2" spans="2:16" ht="13.95" customHeight="1" x14ac:dyDescent="0.3">
      <c r="B2" s="2" t="s">
        <v>119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52" t="s">
        <v>120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</row>
    <row r="6" spans="2:16" ht="13.95" customHeight="1" x14ac:dyDescent="0.3">
      <c r="B6" s="6" t="s">
        <v>121</v>
      </c>
      <c r="C6" s="7" t="s">
        <v>122</v>
      </c>
      <c r="D6" s="7"/>
      <c r="P6" s="7" t="s">
        <v>123</v>
      </c>
    </row>
    <row r="7" spans="2:16" ht="13.95" customHeight="1" x14ac:dyDescent="0.3">
      <c r="B7" s="8" t="s">
        <v>124</v>
      </c>
      <c r="C7" s="9">
        <v>60927.303521809401</v>
      </c>
      <c r="P7" s="2" t="s">
        <v>125</v>
      </c>
    </row>
    <row r="8" spans="2:16" ht="13.95" customHeight="1" x14ac:dyDescent="0.3">
      <c r="B8" s="8" t="s">
        <v>126</v>
      </c>
      <c r="C8" s="10">
        <v>4.7E-2</v>
      </c>
      <c r="P8" s="2" t="s">
        <v>127</v>
      </c>
    </row>
    <row r="9" spans="2:16" ht="13.95" customHeight="1" x14ac:dyDescent="0.3">
      <c r="B9" s="8" t="s">
        <v>128</v>
      </c>
      <c r="C9" s="10">
        <v>0.04</v>
      </c>
      <c r="P9" s="2" t="s">
        <v>129</v>
      </c>
    </row>
    <row r="10" spans="2:16" ht="13.95" customHeight="1" x14ac:dyDescent="0.3">
      <c r="B10" s="8" t="s">
        <v>130</v>
      </c>
      <c r="C10" s="10">
        <v>0.02</v>
      </c>
      <c r="P10" s="2" t="s">
        <v>131</v>
      </c>
    </row>
    <row r="11" spans="2:16" ht="13.95" customHeight="1" x14ac:dyDescent="0.3">
      <c r="B11" s="8" t="s">
        <v>132</v>
      </c>
      <c r="C11" s="11">
        <f>C9+C10</f>
        <v>0.06</v>
      </c>
      <c r="P11" s="2" t="s">
        <v>133</v>
      </c>
    </row>
    <row r="12" spans="2:16" ht="13.95" customHeight="1" x14ac:dyDescent="0.3">
      <c r="B12" s="8" t="s">
        <v>134</v>
      </c>
      <c r="C12" s="12">
        <v>1</v>
      </c>
      <c r="P12" s="2" t="s">
        <v>135</v>
      </c>
    </row>
    <row r="13" spans="2:16" ht="13.95" customHeight="1" x14ac:dyDescent="0.3">
      <c r="B13" s="13" t="s">
        <v>136</v>
      </c>
      <c r="C13" s="14">
        <f>IF(C12=1,C8,C11)</f>
        <v>4.7E-2</v>
      </c>
      <c r="P13" s="2" t="s">
        <v>137</v>
      </c>
    </row>
    <row r="14" spans="2:16" ht="13.95" customHeight="1" x14ac:dyDescent="0.3">
      <c r="B14" s="8" t="s">
        <v>138</v>
      </c>
      <c r="C14" s="10">
        <v>0.06</v>
      </c>
      <c r="P14" s="2" t="s">
        <v>139</v>
      </c>
    </row>
    <row r="15" spans="2:16" ht="13.95" customHeight="1" x14ac:dyDescent="0.3">
      <c r="B15" s="8" t="s">
        <v>140</v>
      </c>
      <c r="C15" s="15">
        <v>1.1490636583839999</v>
      </c>
      <c r="P15" s="2" t="s">
        <v>141</v>
      </c>
    </row>
    <row r="16" spans="2:16" ht="13.95" customHeight="1" x14ac:dyDescent="0.3">
      <c r="B16" s="8" t="s">
        <v>142</v>
      </c>
      <c r="C16" s="16">
        <v>0.85</v>
      </c>
      <c r="P16" s="2" t="s">
        <v>143</v>
      </c>
    </row>
    <row r="17" spans="2:16" ht="13.95" customHeight="1" x14ac:dyDescent="0.3">
      <c r="B17" s="8" t="s">
        <v>144</v>
      </c>
      <c r="C17" s="17">
        <f>BetaAn</f>
        <v>1.0747442657540422</v>
      </c>
      <c r="D17" s="18">
        <f>ERPAn</f>
        <v>5.5398885444718507E-2</v>
      </c>
      <c r="P17" s="2" t="s">
        <v>145</v>
      </c>
    </row>
    <row r="18" spans="2:16" ht="13.95" customHeight="1" x14ac:dyDescent="0.3">
      <c r="B18" s="8" t="s">
        <v>146</v>
      </c>
      <c r="C18" s="15">
        <v>0.73279099999999997</v>
      </c>
      <c r="D18" s="15">
        <v>1.186858777515015</v>
      </c>
      <c r="P18" s="2" t="s">
        <v>147</v>
      </c>
    </row>
    <row r="19" spans="2:16" ht="13.95" customHeight="1" x14ac:dyDescent="0.3">
      <c r="B19" s="8" t="s">
        <v>148</v>
      </c>
      <c r="C19" s="12">
        <v>1</v>
      </c>
      <c r="P19" s="2" t="s">
        <v>149</v>
      </c>
    </row>
    <row r="21" spans="2:16" ht="13.95" customHeight="1" x14ac:dyDescent="0.3">
      <c r="B21" s="52" t="s">
        <v>150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</row>
    <row r="22" spans="2:16" ht="13.95" customHeight="1" x14ac:dyDescent="0.3">
      <c r="B22" s="6" t="s">
        <v>121</v>
      </c>
      <c r="C22" s="7" t="s">
        <v>151</v>
      </c>
      <c r="D22" s="7" t="s">
        <v>152</v>
      </c>
      <c r="E22" s="7" t="s">
        <v>153</v>
      </c>
      <c r="P22" s="7" t="s">
        <v>154</v>
      </c>
    </row>
    <row r="23" spans="2:16" ht="13.95" customHeight="1" x14ac:dyDescent="0.3">
      <c r="B23" s="8" t="s">
        <v>155</v>
      </c>
      <c r="C23" s="19">
        <v>8.5000000000000006E-2</v>
      </c>
      <c r="D23" s="19">
        <v>6.7599999999999993E-2</v>
      </c>
      <c r="E23" s="19">
        <v>5.5E-2</v>
      </c>
      <c r="P23" s="2" t="s">
        <v>156</v>
      </c>
    </row>
    <row r="24" spans="2:16" ht="13.95" customHeight="1" x14ac:dyDescent="0.3">
      <c r="B24" s="8" t="s">
        <v>157</v>
      </c>
      <c r="C24" s="20">
        <f>C23+$C$15*$C$14</f>
        <v>0.15394381950303998</v>
      </c>
      <c r="D24" s="20">
        <f>D23+$C$15*$C$14</f>
        <v>0.13654381950303998</v>
      </c>
      <c r="E24" s="20">
        <f>E23+$C$15*$C$14</f>
        <v>0.12394381950303998</v>
      </c>
      <c r="P24" s="2" t="s">
        <v>158</v>
      </c>
    </row>
    <row r="25" spans="2:16" ht="13.95" customHeight="1" x14ac:dyDescent="0.3">
      <c r="B25" s="8" t="s">
        <v>159</v>
      </c>
      <c r="C25" s="20">
        <f>(C23+$C$9)*$C$16+$C$17*$D$17</f>
        <v>0.1657896344608763</v>
      </c>
      <c r="D25" s="20">
        <f>(D23+$C$9)*$C$16+$C$17*$D$17</f>
        <v>0.15099963446087628</v>
      </c>
      <c r="E25" s="20">
        <f>(E23+$C$9)*$C$16+$C$17*$D$17</f>
        <v>0.14028963446087628</v>
      </c>
    </row>
    <row r="26" spans="2:16" ht="13.95" customHeight="1" x14ac:dyDescent="0.3">
      <c r="B26" s="13" t="s">
        <v>160</v>
      </c>
      <c r="C26" s="21">
        <f>IF($C$12=1,C24,C25)</f>
        <v>0.15394381950303998</v>
      </c>
      <c r="D26" s="21">
        <f>IF($C$12=1,D24,D25)</f>
        <v>0.13654381950303998</v>
      </c>
      <c r="E26" s="21">
        <f>IF($C$12=1,E24,E25)</f>
        <v>0.12394381950303998</v>
      </c>
    </row>
    <row r="27" spans="2:16" ht="13.95" customHeight="1" x14ac:dyDescent="0.3">
      <c r="B27" s="8" t="s">
        <v>161</v>
      </c>
      <c r="C27" s="22">
        <f>(C26-g_)*100</f>
        <v>10.694381950303997</v>
      </c>
      <c r="D27" s="22">
        <f>(D26-g_)*100</f>
        <v>8.9543819503039987</v>
      </c>
      <c r="E27" s="22">
        <f>(E26-g_)*100</f>
        <v>7.6943819503039981</v>
      </c>
    </row>
    <row r="29" spans="2:16" ht="13.95" customHeight="1" x14ac:dyDescent="0.3">
      <c r="B29" s="52" t="s">
        <v>162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</row>
    <row r="30" spans="2:16" ht="13.95" customHeight="1" x14ac:dyDescent="0.3">
      <c r="B30" s="6" t="s">
        <v>7</v>
      </c>
      <c r="C30" s="7" t="s">
        <v>8</v>
      </c>
      <c r="D30" s="7" t="s">
        <v>9</v>
      </c>
      <c r="E30" s="7" t="s">
        <v>10</v>
      </c>
      <c r="F30" s="7" t="s">
        <v>11</v>
      </c>
      <c r="G30" s="7" t="s">
        <v>12</v>
      </c>
      <c r="H30" s="7" t="s">
        <v>13</v>
      </c>
      <c r="I30" s="7" t="s">
        <v>14</v>
      </c>
      <c r="J30" s="7" t="s">
        <v>15</v>
      </c>
      <c r="K30" s="7" t="s">
        <v>16</v>
      </c>
      <c r="L30" s="7" t="s">
        <v>17</v>
      </c>
      <c r="M30" s="7" t="s">
        <v>18</v>
      </c>
      <c r="N30" s="7" t="s">
        <v>19</v>
      </c>
      <c r="P30" s="7" t="s">
        <v>20</v>
      </c>
    </row>
    <row r="31" spans="2:16" ht="13.95" customHeight="1" x14ac:dyDescent="0.3">
      <c r="B31" s="8" t="s">
        <v>163</v>
      </c>
      <c r="C31" s="23">
        <f>'Members DDM'!C147</f>
        <v>5708.1180707928843</v>
      </c>
      <c r="D31" s="23">
        <f>'Members DDM'!D147</f>
        <v>6447.8434518249705</v>
      </c>
      <c r="E31" s="23">
        <f>'Members DDM'!E147</f>
        <v>7167.1074217837477</v>
      </c>
      <c r="F31" s="23">
        <f>'Members DDM'!F147</f>
        <v>7926.3943945690417</v>
      </c>
      <c r="G31" s="23">
        <f>'Members DDM'!G147</f>
        <v>8717.4463934648375</v>
      </c>
      <c r="H31" s="23">
        <f>'Members DDM'!H147</f>
        <v>9529.7931920551364</v>
      </c>
      <c r="I31" s="23">
        <f>'Members DDM'!I147</f>
        <v>10350.872702661682</v>
      </c>
      <c r="J31" s="23">
        <f>'Members DDM'!J147</f>
        <v>11166.303486604347</v>
      </c>
      <c r="K31" s="23">
        <f>'Members DDM'!K147</f>
        <v>11960.314935950917</v>
      </c>
      <c r="L31" s="23">
        <f>'Members DDM'!L147</f>
        <v>12716.326369212718</v>
      </c>
      <c r="M31" s="23">
        <f>'Members DDM'!M147</f>
        <v>13417.650362880831</v>
      </c>
      <c r="N31" s="23">
        <f>'Members DDM'!N147</f>
        <v>14048.279929936227</v>
      </c>
      <c r="P31" s="2" t="s">
        <v>164</v>
      </c>
    </row>
    <row r="32" spans="2:16" ht="13.95" customHeight="1" x14ac:dyDescent="0.3">
      <c r="B32" s="8" t="s">
        <v>56</v>
      </c>
      <c r="D32" s="11">
        <f t="shared" ref="D32:N32" si="0">D31/C31-1</f>
        <v>0.12959181500065475</v>
      </c>
      <c r="E32" s="11">
        <f t="shared" si="0"/>
        <v>0.11155109073797376</v>
      </c>
      <c r="F32" s="11">
        <f t="shared" si="0"/>
        <v>0.1059405040417718</v>
      </c>
      <c r="G32" s="11">
        <f t="shared" si="0"/>
        <v>9.9799727280515338E-2</v>
      </c>
      <c r="H32" s="11">
        <f t="shared" si="0"/>
        <v>9.3186325665195469E-2</v>
      </c>
      <c r="I32" s="11">
        <f t="shared" si="0"/>
        <v>8.6159216056342913E-2</v>
      </c>
      <c r="J32" s="11">
        <f t="shared" si="0"/>
        <v>7.8778940420451748E-2</v>
      </c>
      <c r="K32" s="11">
        <f t="shared" si="0"/>
        <v>7.1107815607833524E-2</v>
      </c>
      <c r="L32" s="11">
        <f t="shared" si="0"/>
        <v>6.3209993826278232E-2</v>
      </c>
      <c r="M32" s="11">
        <f t="shared" si="0"/>
        <v>5.5151462246681326E-2</v>
      </c>
      <c r="N32" s="11">
        <f t="shared" si="0"/>
        <v>4.6999999999999709E-2</v>
      </c>
    </row>
    <row r="33" spans="2:16" ht="13.95" customHeight="1" x14ac:dyDescent="0.3">
      <c r="B33" s="8" t="s">
        <v>165</v>
      </c>
      <c r="D33" s="23">
        <f>'Members DDM'!D148</f>
        <v>4337.046481303857</v>
      </c>
      <c r="E33" s="23">
        <f>'Members DDM'!E148</f>
        <v>4278.3379336092121</v>
      </c>
      <c r="F33" s="23">
        <f>'Members DDM'!F148</f>
        <v>3864.2429678156113</v>
      </c>
      <c r="G33" s="23">
        <f>'Members DDM'!G148</f>
        <v>4474.0080817383532</v>
      </c>
      <c r="H33" s="23">
        <f>'Members DDM'!H148</f>
        <v>5166.6556543245888</v>
      </c>
      <c r="I33" s="23">
        <f>'Members DDM'!I148</f>
        <v>5942.8372970778628</v>
      </c>
      <c r="J33" s="23">
        <f>'Members DDM'!J148</f>
        <v>6799.7018988898872</v>
      </c>
      <c r="K33" s="23">
        <f>'Members DDM'!K148</f>
        <v>7730.2753836339189</v>
      </c>
      <c r="L33" s="23">
        <f>'Members DDM'!L148</f>
        <v>8723.0458683475536</v>
      </c>
      <c r="M33" s="23">
        <f>'Members DDM'!M148</f>
        <v>9761.8405985166755</v>
      </c>
      <c r="N33" s="23">
        <f>'Members DDM'!N148</f>
        <v>10826.064049029585</v>
      </c>
    </row>
    <row r="34" spans="2:16" ht="13.95" customHeight="1" x14ac:dyDescent="0.3">
      <c r="B34" s="8" t="s">
        <v>25</v>
      </c>
      <c r="D34" s="11">
        <f t="shared" ref="D34:N34" si="1">D33/D31</f>
        <v>0.67263520178615965</v>
      </c>
      <c r="E34" s="11">
        <f t="shared" si="1"/>
        <v>0.59694067380734483</v>
      </c>
      <c r="F34" s="11">
        <f t="shared" si="1"/>
        <v>0.4875158584669077</v>
      </c>
      <c r="G34" s="11">
        <f t="shared" si="1"/>
        <v>0.51322461645331818</v>
      </c>
      <c r="H34" s="11">
        <f t="shared" si="1"/>
        <v>0.54215821374087758</v>
      </c>
      <c r="I34" s="11">
        <f t="shared" si="1"/>
        <v>0.5741387675987637</v>
      </c>
      <c r="J34" s="11">
        <f t="shared" si="1"/>
        <v>0.60894833344330535</v>
      </c>
      <c r="K34" s="11">
        <f t="shared" si="1"/>
        <v>0.64632707625431063</v>
      </c>
      <c r="L34" s="11">
        <f t="shared" si="1"/>
        <v>0.6859721601253308</v>
      </c>
      <c r="M34" s="11">
        <f t="shared" si="1"/>
        <v>0.72753726133170482</v>
      </c>
      <c r="N34" s="11">
        <f t="shared" si="1"/>
        <v>0.77063271112356957</v>
      </c>
    </row>
    <row r="35" spans="2:16" ht="13.95" customHeight="1" x14ac:dyDescent="0.3">
      <c r="B35" s="8" t="s">
        <v>166</v>
      </c>
      <c r="D35" s="11">
        <f>D31/AVERAGE('Members DDM'!C149,'Members DDM'!D149)</f>
        <v>0.20605983128436586</v>
      </c>
      <c r="E35" s="11">
        <f>E31/AVERAGE('Members DDM'!D149,'Members DDM'!E149)</f>
        <v>0.21210166574312117</v>
      </c>
      <c r="F35" s="11">
        <f>F31/AVERAGE('Members DDM'!E149,'Members DDM'!F149)</f>
        <v>0.21269566034777126</v>
      </c>
      <c r="G35" s="11">
        <f>G31/AVERAGE('Members DDM'!F149,'Members DDM'!G149)</f>
        <v>0.21046892650180435</v>
      </c>
      <c r="H35" s="11">
        <f>H31/AVERAGE('Members DDM'!G149,'Members DDM'!H149)</f>
        <v>0.2084270063257968</v>
      </c>
      <c r="I35" s="11">
        <f>I31/AVERAGE('Members DDM'!H149,'Members DDM'!I149)</f>
        <v>0.20657111340233611</v>
      </c>
      <c r="J35" s="11">
        <f>J31/AVERAGE('Members DDM'!I149,'Members DDM'!J149)</f>
        <v>0.20490376974928165</v>
      </c>
      <c r="K35" s="11">
        <f>K31/AVERAGE('Members DDM'!J149,'Members DDM'!K149)</f>
        <v>0.20342860019160502</v>
      </c>
      <c r="L35" s="11">
        <f>L31/AVERAGE('Members DDM'!K149,'Members DDM'!L149)</f>
        <v>0.20215020606472137</v>
      </c>
      <c r="M35" s="11">
        <f>M31/AVERAGE('Members DDM'!L149,'Members DDM'!M149)</f>
        <v>0.20107409753298622</v>
      </c>
      <c r="N35" s="11">
        <f>N31/AVERAGE('Members DDM'!M149,'Members DDM'!N149)</f>
        <v>0.20020666425351086</v>
      </c>
    </row>
    <row r="36" spans="2:16" ht="13.95" customHeight="1" x14ac:dyDescent="0.3">
      <c r="B36" s="8" t="s">
        <v>167</v>
      </c>
      <c r="D36" s="11">
        <f>'Analyst Models'!D90</f>
        <v>0.14209295780432374</v>
      </c>
      <c r="E36" s="11">
        <f>'Analyst Models'!E90</f>
        <v>0.1249803450302498</v>
      </c>
      <c r="F36" s="11">
        <f>'Analyst Models'!F90</f>
        <v>9.9600602883443301E-2</v>
      </c>
      <c r="G36" s="11">
        <f>'Analyst Models'!G90</f>
        <v>9.1378031628795542E-2</v>
      </c>
      <c r="H36" s="11">
        <f>'Analyst Models'!H90</f>
        <v>8.316831344706288E-2</v>
      </c>
      <c r="I36" s="11">
        <f>'Analyst Models'!I90</f>
        <v>7.5274289376243253E-2</v>
      </c>
      <c r="J36" s="11">
        <f>'Analyst Models'!J90</f>
        <v>7.1817703499477359E-2</v>
      </c>
      <c r="K36" s="11">
        <f>'Analyst Models'!K90</f>
        <v>6.6585953907854822E-2</v>
      </c>
      <c r="L36" s="11">
        <f>'Analyst Models'!L90</f>
        <v>6.4567095497408022E-2</v>
      </c>
      <c r="M36" s="11">
        <f>'Analyst Models'!M90</f>
        <v>6.3364142854655192E-2</v>
      </c>
      <c r="N36" s="11">
        <f>'Analyst Models'!N90</f>
        <v>5.951570540510609E-2</v>
      </c>
      <c r="P36" s="2" t="s">
        <v>168</v>
      </c>
    </row>
    <row r="37" spans="2:16" ht="13.95" customHeight="1" x14ac:dyDescent="0.3">
      <c r="B37" s="8" t="s">
        <v>169</v>
      </c>
      <c r="C37" s="11">
        <f>'Analyst Models'!C91</f>
        <v>0.5367714771455705</v>
      </c>
      <c r="D37" s="11">
        <f>'Analyst Models'!D91</f>
        <v>0.57363999368809671</v>
      </c>
      <c r="E37" s="11">
        <f>'Analyst Models'!E91</f>
        <v>0.59896640001400203</v>
      </c>
      <c r="F37" s="11">
        <f>'Analyst Models'!F91</f>
        <v>0.61404933224697422</v>
      </c>
      <c r="G37" s="11">
        <f>'Analyst Models'!G91</f>
        <v>0.6378509727349887</v>
      </c>
      <c r="H37" s="11">
        <f>'Analyst Models'!H91</f>
        <v>0.66424495794785632</v>
      </c>
      <c r="I37" s="11">
        <f>'Analyst Models'!I91</f>
        <v>0.68240720305221214</v>
      </c>
      <c r="J37" s="11">
        <f>'Analyst Models'!J91</f>
        <v>0.69850556566222011</v>
      </c>
      <c r="K37" s="11">
        <f>'Analyst Models'!K91</f>
        <v>0.72440608889612867</v>
      </c>
      <c r="L37" s="11">
        <f>'Analyst Models'!L91</f>
        <v>0.74045947740463314</v>
      </c>
      <c r="M37" s="11">
        <f>'Analyst Models'!M91</f>
        <v>0.75250459780364076</v>
      </c>
      <c r="N37" s="11">
        <f>'Analyst Models'!N91</f>
        <v>0.75906369110010363</v>
      </c>
      <c r="P37" s="2" t="s">
        <v>168</v>
      </c>
    </row>
    <row r="38" spans="2:16" ht="13.95" customHeight="1" x14ac:dyDescent="0.3">
      <c r="B38" s="8" t="s">
        <v>170</v>
      </c>
      <c r="C38" s="23">
        <f>C31</f>
        <v>5708.1180707928843</v>
      </c>
      <c r="D38" s="23">
        <f>D31</f>
        <v>6447.8434518249705</v>
      </c>
      <c r="E38" s="23">
        <f>E31</f>
        <v>7167.1074217837477</v>
      </c>
      <c r="F38" s="23">
        <f t="shared" ref="F38:N38" si="2">E38*(1+F36)</f>
        <v>7880.9556419238097</v>
      </c>
      <c r="G38" s="23">
        <f t="shared" si="2"/>
        <v>8601.1018558366577</v>
      </c>
      <c r="H38" s="23">
        <f t="shared" si="2"/>
        <v>9316.4409909729948</v>
      </c>
      <c r="I38" s="23">
        <f t="shared" si="2"/>
        <v>10017.729466084191</v>
      </c>
      <c r="J38" s="23">
        <f t="shared" si="2"/>
        <v>10737.179790617403</v>
      </c>
      <c r="K38" s="23">
        <f t="shared" si="2"/>
        <v>11452.125149255804</v>
      </c>
      <c r="L38" s="23">
        <f t="shared" si="2"/>
        <v>12191.555607416072</v>
      </c>
      <c r="M38" s="23">
        <f t="shared" si="2"/>
        <v>12964.063078544857</v>
      </c>
      <c r="N38" s="23">
        <f t="shared" si="2"/>
        <v>13735.628437580746</v>
      </c>
    </row>
    <row r="39" spans="2:16" ht="13.95" customHeight="1" x14ac:dyDescent="0.3">
      <c r="B39" s="8" t="s">
        <v>171</v>
      </c>
      <c r="C39" s="23">
        <f t="shared" ref="C39:N39" si="3">C38*C37</f>
        <v>3063.9549685808206</v>
      </c>
      <c r="D39" s="23">
        <f t="shared" si="3"/>
        <v>3698.7408770067118</v>
      </c>
      <c r="E39" s="23">
        <f t="shared" si="3"/>
        <v>4292.8565309394471</v>
      </c>
      <c r="F39" s="23">
        <f t="shared" si="3"/>
        <v>4839.2955493913396</v>
      </c>
      <c r="G39" s="23">
        <f t="shared" si="3"/>
        <v>5486.2211853381286</v>
      </c>
      <c r="H39" s="23">
        <f t="shared" si="3"/>
        <v>6188.3989542725421</v>
      </c>
      <c r="I39" s="23">
        <f t="shared" si="3"/>
        <v>6836.1707458842429</v>
      </c>
      <c r="J39" s="23">
        <f t="shared" si="3"/>
        <v>7499.9798432621674</v>
      </c>
      <c r="K39" s="23">
        <f t="shared" si="3"/>
        <v>8295.9891889213905</v>
      </c>
      <c r="L39" s="23">
        <f t="shared" si="3"/>
        <v>9027.3528938168292</v>
      </c>
      <c r="M39" s="23">
        <f t="shared" si="3"/>
        <v>9755.5170728214271</v>
      </c>
      <c r="N39" s="23">
        <f t="shared" si="3"/>
        <v>10426.216821409591</v>
      </c>
    </row>
    <row r="40" spans="2:16" ht="13.95" customHeight="1" x14ac:dyDescent="0.3">
      <c r="B40" s="13" t="s">
        <v>172</v>
      </c>
      <c r="D40" s="24">
        <f t="shared" ref="D40:N40" si="4">IF($C$19=1,D33,D39)</f>
        <v>4337.046481303857</v>
      </c>
      <c r="E40" s="24">
        <f t="shared" si="4"/>
        <v>4278.3379336092121</v>
      </c>
      <c r="F40" s="24">
        <f t="shared" si="4"/>
        <v>3864.2429678156113</v>
      </c>
      <c r="G40" s="24">
        <f t="shared" si="4"/>
        <v>4474.0080817383532</v>
      </c>
      <c r="H40" s="24">
        <f t="shared" si="4"/>
        <v>5166.6556543245888</v>
      </c>
      <c r="I40" s="24">
        <f t="shared" si="4"/>
        <v>5942.8372970778628</v>
      </c>
      <c r="J40" s="24">
        <f t="shared" si="4"/>
        <v>6799.7018988898872</v>
      </c>
      <c r="K40" s="24">
        <f t="shared" si="4"/>
        <v>7730.2753836339189</v>
      </c>
      <c r="L40" s="24">
        <f t="shared" si="4"/>
        <v>8723.0458683475536</v>
      </c>
      <c r="M40" s="24">
        <f t="shared" si="4"/>
        <v>9761.8405985166755</v>
      </c>
      <c r="N40" s="24">
        <f t="shared" si="4"/>
        <v>10826.064049029585</v>
      </c>
    </row>
    <row r="42" spans="2:16" ht="13.95" customHeight="1" x14ac:dyDescent="0.3">
      <c r="B42" s="52" t="s">
        <v>173</v>
      </c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</row>
    <row r="43" spans="2:16" ht="13.95" customHeight="1" x14ac:dyDescent="0.3">
      <c r="B43" s="6" t="s">
        <v>121</v>
      </c>
      <c r="C43" s="7" t="s">
        <v>151</v>
      </c>
      <c r="D43" s="7" t="s">
        <v>152</v>
      </c>
      <c r="E43" s="7" t="s">
        <v>153</v>
      </c>
      <c r="P43" s="7" t="s">
        <v>154</v>
      </c>
    </row>
    <row r="44" spans="2:16" ht="13.95" customHeight="1" x14ac:dyDescent="0.3">
      <c r="B44" s="8" t="s">
        <v>160</v>
      </c>
      <c r="C44" s="20">
        <f>C26</f>
        <v>0.15394381950303998</v>
      </c>
      <c r="D44" s="20">
        <f>D26</f>
        <v>0.13654381950303998</v>
      </c>
      <c r="E44" s="20">
        <f>E26</f>
        <v>0.12394381950303998</v>
      </c>
    </row>
    <row r="45" spans="2:16" ht="13.95" customHeight="1" x14ac:dyDescent="0.3">
      <c r="B45" s="8" t="s">
        <v>174</v>
      </c>
      <c r="C45" s="25">
        <v>-0.2</v>
      </c>
      <c r="D45" s="25">
        <v>0</v>
      </c>
      <c r="E45" s="25">
        <v>0.2</v>
      </c>
      <c r="P45" s="2" t="s">
        <v>175</v>
      </c>
    </row>
    <row r="46" spans="2:16" ht="13.95" customHeight="1" x14ac:dyDescent="0.3">
      <c r="B46" s="8" t="s">
        <v>176</v>
      </c>
      <c r="C46" s="26">
        <f>$C$18*$D$18*C45</f>
        <v>-0.17394388608680109</v>
      </c>
      <c r="D46" s="26">
        <f>$C$18*$D$18*D45</f>
        <v>0</v>
      </c>
      <c r="E46" s="26">
        <f>$C$18*$D$18*E45</f>
        <v>0.17394388608680109</v>
      </c>
      <c r="P46" s="2" t="s">
        <v>177</v>
      </c>
    </row>
    <row r="47" spans="2:16" ht="13.95" customHeight="1" x14ac:dyDescent="0.3">
      <c r="B47" s="8" t="s">
        <v>178</v>
      </c>
      <c r="C47" s="23">
        <f>(1+C46)*NPV(C44,$E$40:$N$40)</f>
        <v>24044.887735240474</v>
      </c>
      <c r="D47" s="23">
        <f>(1+D46)*NPV(D44,$E$40:$N$40)</f>
        <v>31572.426071297054</v>
      </c>
      <c r="E47" s="23">
        <f>(1+E46)*NPV(E44,$E$40:$N$40)</f>
        <v>39390.271054220771</v>
      </c>
      <c r="P47" s="2" t="s">
        <v>179</v>
      </c>
    </row>
    <row r="48" spans="2:16" ht="13.95" customHeight="1" x14ac:dyDescent="0.3">
      <c r="B48" s="8" t="s">
        <v>180</v>
      </c>
      <c r="C48" s="23">
        <f>$N$40*(1+C46)*(1+g_)/(C44-g_)</f>
        <v>87553.020375567357</v>
      </c>
      <c r="D48" s="23">
        <f>$N$40*(1+D46)*(1+g_)/(D44-g_)</f>
        <v>126584.82877145038</v>
      </c>
      <c r="E48" s="23">
        <f>$N$40*(1+E46)*(1+g_)/(E44-g_)</f>
        <v>172938.17484783896</v>
      </c>
      <c r="P48" s="2" t="s">
        <v>181</v>
      </c>
    </row>
    <row r="49" spans="2:16" ht="13.95" customHeight="1" x14ac:dyDescent="0.3">
      <c r="B49" s="8" t="s">
        <v>182</v>
      </c>
      <c r="C49" s="23">
        <f>C48/(1+C44)^10</f>
        <v>20913.392029353061</v>
      </c>
      <c r="D49" s="23">
        <f>D48/(1+D44)^10</f>
        <v>35198.147929126688</v>
      </c>
      <c r="E49" s="23">
        <f>E48/(1+E44)^10</f>
        <v>53758.214544526447</v>
      </c>
      <c r="P49" s="2" t="s">
        <v>183</v>
      </c>
    </row>
    <row r="50" spans="2:16" ht="13.95" customHeight="1" x14ac:dyDescent="0.3">
      <c r="B50" s="13" t="s">
        <v>184</v>
      </c>
      <c r="C50" s="24">
        <f>C47+C49</f>
        <v>44958.279764593535</v>
      </c>
      <c r="D50" s="24">
        <f>D47+D49</f>
        <v>66770.574000423745</v>
      </c>
      <c r="E50" s="24">
        <f>E47+E49</f>
        <v>93148.485598747211</v>
      </c>
    </row>
    <row r="51" spans="2:16" ht="13.95" customHeight="1" x14ac:dyDescent="0.3">
      <c r="B51" s="13" t="s">
        <v>185</v>
      </c>
      <c r="C51" s="27">
        <f>C50/$C$7-1</f>
        <v>-0.26209963077554599</v>
      </c>
      <c r="D51" s="27">
        <f>D50/$C$7-1</f>
        <v>9.5905614410174866E-2</v>
      </c>
      <c r="E51" s="27">
        <f>E50/$C$7-1</f>
        <v>0.5288463499029461</v>
      </c>
    </row>
    <row r="52" spans="2:16" ht="13.95" customHeight="1" x14ac:dyDescent="0.3">
      <c r="B52" s="8" t="s">
        <v>186</v>
      </c>
      <c r="C52" s="11">
        <f>C49/C50</f>
        <v>0.4651733148789915</v>
      </c>
      <c r="D52" s="11">
        <f>D49/D50</f>
        <v>0.52715059674196163</v>
      </c>
      <c r="E52" s="11">
        <f>E49/E50</f>
        <v>0.5771238705489965</v>
      </c>
      <c r="P52" s="2" t="s">
        <v>187</v>
      </c>
    </row>
    <row r="53" spans="2:16" ht="13.95" customHeight="1" x14ac:dyDescent="0.3">
      <c r="B53" s="8" t="s">
        <v>188</v>
      </c>
      <c r="C53" s="26">
        <f>((1+C46)*NPV(C44,$E$39:$N$39)+$N$39*(1+C46)*(1+g_)/(C44-g_)/(1+C44)^10)/$C$7-1</f>
        <v>-0.23518506204134038</v>
      </c>
      <c r="D53" s="26">
        <f>((1+D46)*NPV(D44,$E$39:$N$39)+$N$39*(1+D46)*(1+g_)/(D44-g_)/(1+D44)^10)/$C$7-1</f>
        <v>0.12532520540360825</v>
      </c>
      <c r="E53" s="26">
        <f>((1+E46)*NPV(E44,$E$39:$N$39)+$N$39*(1+E46)*(1+g_)/(E44-g_)/(1+E44)^10)/$C$7-1</f>
        <v>0.55841851285844579</v>
      </c>
    </row>
    <row r="54" spans="2:16" ht="13.95" customHeight="1" x14ac:dyDescent="0.3">
      <c r="B54" s="8" t="s">
        <v>189</v>
      </c>
      <c r="C54" s="28">
        <v>-0.35434754943115032</v>
      </c>
      <c r="D54" s="28">
        <v>-6.0999999999999999E-2</v>
      </c>
      <c r="E54" s="28">
        <v>0.28808083496318693</v>
      </c>
      <c r="P54" s="2" t="s">
        <v>190</v>
      </c>
    </row>
    <row r="56" spans="2:16" ht="13.95" customHeight="1" x14ac:dyDescent="0.3">
      <c r="B56" s="52" t="s">
        <v>191</v>
      </c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</row>
    <row r="57" spans="2:16" ht="13.95" customHeight="1" x14ac:dyDescent="0.3">
      <c r="B57" s="6" t="s">
        <v>192</v>
      </c>
      <c r="C57" s="29">
        <v>0.04</v>
      </c>
      <c r="D57" s="29">
        <v>4.7E-2</v>
      </c>
      <c r="E57" s="29">
        <v>0.05</v>
      </c>
      <c r="F57" s="29">
        <v>5.5E-2</v>
      </c>
      <c r="G57" s="29">
        <v>0.06</v>
      </c>
    </row>
    <row r="58" spans="2:16" ht="13.95" customHeight="1" x14ac:dyDescent="0.3">
      <c r="B58" s="30">
        <v>0.12</v>
      </c>
      <c r="C58" s="31">
        <f t="shared" ref="C58:G63" si="5">(NPV($B58,$E$40:$N$40)+$N$40*(1+C$57)/($B58-C$57)/(1+$B58)^10)/$C$7-1</f>
        <v>0.30525239758913369</v>
      </c>
      <c r="D58" s="31">
        <f t="shared" si="5"/>
        <v>0.38205600573213605</v>
      </c>
      <c r="E58" s="31">
        <f t="shared" si="5"/>
        <v>0.41967409951646406</v>
      </c>
      <c r="F58" s="31">
        <f t="shared" si="5"/>
        <v>0.49008745454866731</v>
      </c>
      <c r="G58" s="31">
        <f t="shared" si="5"/>
        <v>0.5722363687529044</v>
      </c>
    </row>
    <row r="59" spans="2:16" ht="13.95" customHeight="1" x14ac:dyDescent="0.3">
      <c r="B59" s="30">
        <v>0.13</v>
      </c>
      <c r="C59" s="31">
        <f t="shared" si="5"/>
        <v>0.13959962418982719</v>
      </c>
      <c r="D59" s="31">
        <f t="shared" si="5"/>
        <v>0.19502773558816111</v>
      </c>
      <c r="E59" s="31">
        <f t="shared" si="5"/>
        <v>0.22175200358378655</v>
      </c>
      <c r="F59" s="31">
        <f t="shared" si="5"/>
        <v>0.27104343122016217</v>
      </c>
      <c r="G59" s="31">
        <f t="shared" si="5"/>
        <v>0.32737649137602043</v>
      </c>
    </row>
    <row r="60" spans="2:16" ht="13.95" customHeight="1" x14ac:dyDescent="0.3">
      <c r="B60" s="30">
        <v>0.13650000000000001</v>
      </c>
      <c r="C60" s="31">
        <f t="shared" si="5"/>
        <v>5.0991220982641527E-2</v>
      </c>
      <c r="D60" s="31">
        <f t="shared" si="5"/>
        <v>9.6519513726041728E-2</v>
      </c>
      <c r="E60" s="31">
        <f t="shared" si="5"/>
        <v>0.11828737623506647</v>
      </c>
      <c r="F60" s="31">
        <f t="shared" si="5"/>
        <v>0.15812835158389449</v>
      </c>
      <c r="G60" s="31">
        <f t="shared" si="5"/>
        <v>0.20317729756655645</v>
      </c>
    </row>
    <row r="61" spans="2:16" ht="13.95" customHeight="1" x14ac:dyDescent="0.3">
      <c r="B61" s="30">
        <v>0.14000000000000001</v>
      </c>
      <c r="C61" s="31">
        <f t="shared" si="5"/>
        <v>8.246101546688811E-3</v>
      </c>
      <c r="D61" s="31">
        <f t="shared" si="5"/>
        <v>4.937338872697028E-2</v>
      </c>
      <c r="E61" s="31">
        <f t="shared" si="5"/>
        <v>6.8957811193770757E-2</v>
      </c>
      <c r="F61" s="31">
        <f t="shared" si="5"/>
        <v>0.10467058157440712</v>
      </c>
      <c r="G61" s="31">
        <f t="shared" si="5"/>
        <v>0.14484744825262297</v>
      </c>
    </row>
    <row r="62" spans="2:16" ht="13.95" customHeight="1" x14ac:dyDescent="0.3">
      <c r="B62" s="30">
        <v>0.15</v>
      </c>
      <c r="C62" s="31">
        <f t="shared" si="5"/>
        <v>-9.8241782225397256E-2</v>
      </c>
      <c r="D62" s="31">
        <f t="shared" si="5"/>
        <v>-6.7035200407615236E-2</v>
      </c>
      <c r="E62" s="31">
        <f t="shared" si="5"/>
        <v>-5.2323526122089459E-2</v>
      </c>
      <c r="F62" s="31">
        <f t="shared" si="5"/>
        <v>-2.573927258859543E-2</v>
      </c>
      <c r="G62" s="31">
        <f t="shared" si="5"/>
        <v>3.7987868930644542E-3</v>
      </c>
    </row>
    <row r="63" spans="2:16" ht="13.95" customHeight="1" x14ac:dyDescent="0.3">
      <c r="B63" s="30">
        <v>0.16</v>
      </c>
      <c r="C63" s="31">
        <f t="shared" si="5"/>
        <v>-0.18614690412677182</v>
      </c>
      <c r="D63" s="31">
        <f t="shared" si="5"/>
        <v>-0.16202702751843767</v>
      </c>
      <c r="E63" s="31">
        <f t="shared" si="5"/>
        <v>-0.15075020209116474</v>
      </c>
      <c r="F63" s="31">
        <f t="shared" si="5"/>
        <v>-0.130523515213675</v>
      </c>
      <c r="G63" s="31">
        <f t="shared" si="5"/>
        <v>-0.10827415964843623</v>
      </c>
    </row>
    <row r="65" spans="2:2" ht="13.95" customHeight="1" x14ac:dyDescent="0.3">
      <c r="B65" s="2" t="s">
        <v>193</v>
      </c>
    </row>
  </sheetData>
  <mergeCells count="5">
    <mergeCell ref="B5:P5"/>
    <mergeCell ref="B21:P21"/>
    <mergeCell ref="B29:P29"/>
    <mergeCell ref="B42:P42"/>
    <mergeCell ref="B56:P56"/>
  </mergeCells>
  <conditionalFormatting sqref="C58:G63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150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88</v>
      </c>
    </row>
    <row r="2" spans="2:16" ht="13.95" customHeight="1" x14ac:dyDescent="0.3">
      <c r="B2" s="2" t="s">
        <v>89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52" t="s">
        <v>90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</row>
    <row r="6" spans="2:16" ht="13.95" customHeight="1" x14ac:dyDescent="0.3">
      <c r="B6" s="6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P6" s="7" t="s">
        <v>20</v>
      </c>
    </row>
    <row r="7" spans="2:16" ht="13.95" customHeight="1" x14ac:dyDescent="0.3">
      <c r="B7" s="13" t="s">
        <v>21</v>
      </c>
      <c r="C7" s="32">
        <v>50677.332999999999</v>
      </c>
      <c r="D7" s="32">
        <v>55448.917000000001</v>
      </c>
      <c r="E7" s="32">
        <v>60687.635999999999</v>
      </c>
      <c r="F7" s="33">
        <f t="shared" ref="F7:N7" si="0">E7*(1+F8)</f>
        <v>66101.150744523649</v>
      </c>
      <c r="G7" s="33">
        <f t="shared" si="0"/>
        <v>71648.859095590742</v>
      </c>
      <c r="H7" s="33">
        <f t="shared" si="0"/>
        <v>77284.199133450486</v>
      </c>
      <c r="I7" s="33">
        <f t="shared" si="0"/>
        <v>82955.068611218725</v>
      </c>
      <c r="J7" s="33">
        <f t="shared" si="0"/>
        <v>88604.430175135451</v>
      </c>
      <c r="K7" s="33">
        <f t="shared" si="0"/>
        <v>94171.100744711599</v>
      </c>
      <c r="L7" s="33">
        <f t="shared" si="0"/>
        <v>99590.71649475189</v>
      </c>
      <c r="M7" s="33">
        <f t="shared" si="0"/>
        <v>104796.85763329161</v>
      </c>
      <c r="N7" s="33">
        <f t="shared" si="0"/>
        <v>109722.30994205631</v>
      </c>
      <c r="P7" s="2" t="s">
        <v>91</v>
      </c>
    </row>
    <row r="8" spans="2:16" ht="13.95" customHeight="1" x14ac:dyDescent="0.3">
      <c r="B8" s="8" t="s">
        <v>56</v>
      </c>
      <c r="D8" s="11">
        <f>D7/C7-1</f>
        <v>9.415617826612932E-2</v>
      </c>
      <c r="E8" s="11">
        <f>E7/D7-1</f>
        <v>9.4478292515614015E-2</v>
      </c>
      <c r="F8" s="11">
        <f>$E$8+(g_-$E$8)*1/9</f>
        <v>8.9202926680545788E-2</v>
      </c>
      <c r="G8" s="11">
        <f>$E$8+(g_-$E$8)*2/9</f>
        <v>8.3927560845477561E-2</v>
      </c>
      <c r="H8" s="11">
        <f>$E$8+(g_-$E$8)*3/9</f>
        <v>7.8652195010409348E-2</v>
      </c>
      <c r="I8" s="11">
        <f>$E$8+(g_-$E$8)*4/9</f>
        <v>7.3376829175341121E-2</v>
      </c>
      <c r="J8" s="11">
        <f>$E$8+(g_-$E$8)*5/9</f>
        <v>6.8101463340272894E-2</v>
      </c>
      <c r="K8" s="11">
        <f>$E$8+(g_-$E$8)*6/9</f>
        <v>6.2826097505204681E-2</v>
      </c>
      <c r="L8" s="11">
        <f>$E$8+(g_-$E$8)*7/9</f>
        <v>5.7550731670136447E-2</v>
      </c>
      <c r="M8" s="11">
        <f>$E$8+(g_-$E$8)*8/9</f>
        <v>5.2275365835068227E-2</v>
      </c>
      <c r="N8" s="11">
        <f>$E$8+(g_-$E$8)*9/9</f>
        <v>4.7E-2</v>
      </c>
      <c r="P8" s="2" t="s">
        <v>92</v>
      </c>
    </row>
    <row r="9" spans="2:16" ht="13.95" customHeight="1" x14ac:dyDescent="0.3">
      <c r="B9" s="8" t="s">
        <v>93</v>
      </c>
      <c r="C9" s="34">
        <v>0.24573999999999999</v>
      </c>
      <c r="D9" s="34">
        <v>0.24478</v>
      </c>
      <c r="E9" s="34">
        <v>0.24343000000000001</v>
      </c>
      <c r="F9" s="35">
        <f t="shared" ref="F9:N9" si="1">$E$9</f>
        <v>0.24343000000000001</v>
      </c>
      <c r="G9" s="35">
        <f t="shared" si="1"/>
        <v>0.24343000000000001</v>
      </c>
      <c r="H9" s="35">
        <f t="shared" si="1"/>
        <v>0.24343000000000001</v>
      </c>
      <c r="I9" s="35">
        <f t="shared" si="1"/>
        <v>0.24343000000000001</v>
      </c>
      <c r="J9" s="35">
        <f t="shared" si="1"/>
        <v>0.24343000000000001</v>
      </c>
      <c r="K9" s="35">
        <f t="shared" si="1"/>
        <v>0.24343000000000001</v>
      </c>
      <c r="L9" s="35">
        <f t="shared" si="1"/>
        <v>0.24343000000000001</v>
      </c>
      <c r="M9" s="35">
        <f t="shared" si="1"/>
        <v>0.24343000000000001</v>
      </c>
      <c r="N9" s="35">
        <f t="shared" si="1"/>
        <v>0.24343000000000001</v>
      </c>
      <c r="P9" s="2" t="s">
        <v>94</v>
      </c>
    </row>
    <row r="10" spans="2:16" ht="13.95" customHeight="1" x14ac:dyDescent="0.3">
      <c r="B10" s="8" t="s">
        <v>95</v>
      </c>
      <c r="C10" s="36">
        <f t="shared" ref="C10:N10" si="2">C7/C9</f>
        <v>206223.37836738015</v>
      </c>
      <c r="D10" s="36">
        <f t="shared" si="2"/>
        <v>226525.52087588856</v>
      </c>
      <c r="E10" s="36">
        <f t="shared" si="2"/>
        <v>249302.20597296962</v>
      </c>
      <c r="F10" s="36">
        <f t="shared" si="2"/>
        <v>271540.69237367477</v>
      </c>
      <c r="G10" s="36">
        <f t="shared" si="2"/>
        <v>294330.44035488943</v>
      </c>
      <c r="H10" s="36">
        <f t="shared" si="2"/>
        <v>317480.17554718186</v>
      </c>
      <c r="I10" s="36">
        <f t="shared" si="2"/>
        <v>340775.86415486474</v>
      </c>
      <c r="J10" s="36">
        <f t="shared" si="2"/>
        <v>363983.19917485706</v>
      </c>
      <c r="K10" s="36">
        <f t="shared" si="2"/>
        <v>386850.84313647292</v>
      </c>
      <c r="L10" s="36">
        <f t="shared" si="2"/>
        <v>409114.39220618614</v>
      </c>
      <c r="M10" s="36">
        <f t="shared" si="2"/>
        <v>430500.9967271561</v>
      </c>
      <c r="N10" s="36">
        <f t="shared" si="2"/>
        <v>450734.54357333237</v>
      </c>
    </row>
    <row r="11" spans="2:16" ht="13.95" customHeight="1" x14ac:dyDescent="0.3">
      <c r="B11" s="13" t="s">
        <v>96</v>
      </c>
      <c r="D11" s="33">
        <f t="shared" ref="D11:N11" si="3">D7-(D10-C10)</f>
        <v>35146.774491491597</v>
      </c>
      <c r="E11" s="33">
        <f t="shared" si="3"/>
        <v>37910.950902918936</v>
      </c>
      <c r="F11" s="33">
        <f t="shared" si="3"/>
        <v>43862.664343818498</v>
      </c>
      <c r="G11" s="33">
        <f t="shared" si="3"/>
        <v>48859.111114376079</v>
      </c>
      <c r="H11" s="33">
        <f t="shared" si="3"/>
        <v>54134.463941158057</v>
      </c>
      <c r="I11" s="33">
        <f t="shared" si="3"/>
        <v>59659.380003535844</v>
      </c>
      <c r="J11" s="33">
        <f t="shared" si="3"/>
        <v>65397.095155143135</v>
      </c>
      <c r="K11" s="33">
        <f t="shared" si="3"/>
        <v>71303.456783095739</v>
      </c>
      <c r="L11" s="33">
        <f t="shared" si="3"/>
        <v>77327.167425038671</v>
      </c>
      <c r="M11" s="33">
        <f t="shared" si="3"/>
        <v>83410.253112321647</v>
      </c>
      <c r="N11" s="33">
        <f t="shared" si="3"/>
        <v>89488.763095880044</v>
      </c>
      <c r="P11" s="2" t="s">
        <v>97</v>
      </c>
    </row>
    <row r="12" spans="2:16" ht="13.95" customHeight="1" x14ac:dyDescent="0.3">
      <c r="B12" s="8" t="s">
        <v>58</v>
      </c>
      <c r="D12" s="11">
        <f t="shared" ref="D12:N12" si="4">D11/D7</f>
        <v>0.63385862868145104</v>
      </c>
      <c r="E12" s="11">
        <f t="shared" si="4"/>
        <v>0.62468986109327007</v>
      </c>
      <c r="F12" s="11">
        <f t="shared" si="4"/>
        <v>0.66356884637825209</v>
      </c>
      <c r="G12" s="11">
        <f t="shared" si="4"/>
        <v>0.6819244818565835</v>
      </c>
      <c r="H12" s="11">
        <f t="shared" si="4"/>
        <v>0.70045966120036229</v>
      </c>
      <c r="I12" s="11">
        <f t="shared" si="4"/>
        <v>0.71917703164273672</v>
      </c>
      <c r="J12" s="11">
        <f t="shared" si="4"/>
        <v>0.73807929271571737</v>
      </c>
      <c r="K12" s="11">
        <f t="shared" si="4"/>
        <v>0.75716919754811252</v>
      </c>
      <c r="L12" s="11">
        <f t="shared" si="4"/>
        <v>0.77644955420230921</v>
      </c>
      <c r="M12" s="11">
        <f t="shared" si="4"/>
        <v>0.79592322705126684</v>
      </c>
      <c r="N12" s="11">
        <f t="shared" si="4"/>
        <v>0.81559313819713164</v>
      </c>
      <c r="P12" s="2" t="s">
        <v>98</v>
      </c>
    </row>
    <row r="13" spans="2:16" ht="13.95" customHeight="1" x14ac:dyDescent="0.3">
      <c r="B13" s="37" t="s">
        <v>27</v>
      </c>
      <c r="C13" s="38">
        <v>19089.265090629371</v>
      </c>
      <c r="D13" s="39">
        <v>564225.22764619999</v>
      </c>
      <c r="E13" s="40">
        <f>C13/D13</f>
        <v>3.3832703954526797E-2</v>
      </c>
      <c r="P13" s="2" t="s">
        <v>99</v>
      </c>
    </row>
    <row r="14" spans="2:16" ht="13.95" customHeight="1" x14ac:dyDescent="0.3">
      <c r="B14" s="8" t="s">
        <v>29</v>
      </c>
      <c r="C14" s="23">
        <f t="shared" ref="C14:N14" si="5">C7*$E$13</f>
        <v>1714.5512045939713</v>
      </c>
      <c r="D14" s="23">
        <f t="shared" si="5"/>
        <v>1875.9867934601282</v>
      </c>
      <c r="E14" s="23">
        <f t="shared" si="5"/>
        <v>2053.2268224880827</v>
      </c>
      <c r="F14" s="23">
        <f t="shared" si="5"/>
        <v>2236.3806641930173</v>
      </c>
      <c r="G14" s="23">
        <f t="shared" si="5"/>
        <v>2424.074638460726</v>
      </c>
      <c r="H14" s="23">
        <f t="shared" si="5"/>
        <v>2614.7334296447266</v>
      </c>
      <c r="I14" s="23">
        <f t="shared" si="5"/>
        <v>2806.5942778508215</v>
      </c>
      <c r="J14" s="23">
        <f t="shared" si="5"/>
        <v>2997.7274551748988</v>
      </c>
      <c r="K14" s="23">
        <f t="shared" si="5"/>
        <v>3186.0629725677454</v>
      </c>
      <c r="L14" s="23">
        <f t="shared" si="5"/>
        <v>3369.4232277861493</v>
      </c>
      <c r="M14" s="23">
        <f t="shared" si="5"/>
        <v>3545.561059671847</v>
      </c>
      <c r="N14" s="23">
        <f t="shared" si="5"/>
        <v>3712.2024294764233</v>
      </c>
    </row>
    <row r="15" spans="2:16" ht="13.95" customHeight="1" x14ac:dyDescent="0.3">
      <c r="B15" s="8" t="s">
        <v>30</v>
      </c>
      <c r="D15" s="23">
        <f t="shared" ref="D15:N15" si="6">D11*$E$13</f>
        <v>1189.1104163271493</v>
      </c>
      <c r="E15" s="23">
        <f t="shared" si="6"/>
        <v>1282.6299785330566</v>
      </c>
      <c r="F15" s="23">
        <f t="shared" si="6"/>
        <v>1483.9925374011896</v>
      </c>
      <c r="G15" s="23">
        <f t="shared" si="6"/>
        <v>1653.0358418140158</v>
      </c>
      <c r="H15" s="23">
        <f t="shared" si="6"/>
        <v>1831.5152922582065</v>
      </c>
      <c r="I15" s="23">
        <f t="shared" si="6"/>
        <v>2018.4381417702441</v>
      </c>
      <c r="J15" s="23">
        <f t="shared" si="6"/>
        <v>2212.5605598699763</v>
      </c>
      <c r="K15" s="23">
        <f t="shared" si="6"/>
        <v>2412.3887442768737</v>
      </c>
      <c r="L15" s="23">
        <f t="shared" si="6"/>
        <v>2616.1871631334616</v>
      </c>
      <c r="M15" s="23">
        <f t="shared" si="6"/>
        <v>2821.9944003213254</v>
      </c>
      <c r="N15" s="23">
        <f t="shared" si="6"/>
        <v>3027.6468290796925</v>
      </c>
    </row>
    <row r="16" spans="2:16" ht="13.95" customHeight="1" x14ac:dyDescent="0.3">
      <c r="B16" s="8" t="s">
        <v>100</v>
      </c>
      <c r="C16" s="23">
        <f t="shared" ref="C16:N16" si="7">C10*$E$13</f>
        <v>6977.0945088059379</v>
      </c>
      <c r="D16" s="23">
        <f t="shared" si="7"/>
        <v>7663.9708859389175</v>
      </c>
      <c r="E16" s="23">
        <f t="shared" si="7"/>
        <v>8434.5677298939427</v>
      </c>
      <c r="F16" s="23">
        <f t="shared" si="7"/>
        <v>9186.9558566857704</v>
      </c>
      <c r="G16" s="23">
        <f t="shared" si="7"/>
        <v>9957.9946533324819</v>
      </c>
      <c r="H16" s="23">
        <f t="shared" si="7"/>
        <v>10741.212790719001</v>
      </c>
      <c r="I16" s="23">
        <f t="shared" si="7"/>
        <v>11529.36892679958</v>
      </c>
      <c r="J16" s="23">
        <f t="shared" si="7"/>
        <v>12314.535822104501</v>
      </c>
      <c r="K16" s="23">
        <f t="shared" si="7"/>
        <v>13088.210050395373</v>
      </c>
      <c r="L16" s="23">
        <f t="shared" si="7"/>
        <v>13841.44611504806</v>
      </c>
      <c r="M16" s="23">
        <f t="shared" si="7"/>
        <v>14565.012774398581</v>
      </c>
      <c r="N16" s="23">
        <f t="shared" si="7"/>
        <v>15249.568374795314</v>
      </c>
    </row>
    <row r="19" spans="2:16" ht="13.95" customHeight="1" x14ac:dyDescent="0.3">
      <c r="B19" s="52" t="s">
        <v>101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</row>
    <row r="20" spans="2:16" ht="13.95" customHeight="1" x14ac:dyDescent="0.3">
      <c r="B20" s="6" t="s">
        <v>7</v>
      </c>
      <c r="C20" s="7" t="s">
        <v>8</v>
      </c>
      <c r="D20" s="7" t="s">
        <v>9</v>
      </c>
      <c r="E20" s="7" t="s">
        <v>10</v>
      </c>
      <c r="F20" s="7" t="s">
        <v>11</v>
      </c>
      <c r="G20" s="7" t="s">
        <v>12</v>
      </c>
      <c r="H20" s="7" t="s">
        <v>13</v>
      </c>
      <c r="I20" s="7" t="s">
        <v>14</v>
      </c>
      <c r="J20" s="7" t="s">
        <v>15</v>
      </c>
      <c r="K20" s="7" t="s">
        <v>16</v>
      </c>
      <c r="L20" s="7" t="s">
        <v>17</v>
      </c>
      <c r="M20" s="7" t="s">
        <v>18</v>
      </c>
      <c r="N20" s="7" t="s">
        <v>19</v>
      </c>
      <c r="P20" s="7" t="s">
        <v>20</v>
      </c>
    </row>
    <row r="21" spans="2:16" ht="13.95" customHeight="1" x14ac:dyDescent="0.3">
      <c r="B21" s="13" t="s">
        <v>21</v>
      </c>
      <c r="C21" s="32">
        <v>27739.922999999999</v>
      </c>
      <c r="D21" s="32">
        <v>30648.077000000001</v>
      </c>
      <c r="E21" s="32">
        <v>33619.082999999999</v>
      </c>
      <c r="F21" s="33">
        <f t="shared" ref="F21:N21" si="8">E21*(1+F22)</f>
        <v>36691.550229072418</v>
      </c>
      <c r="G21" s="33">
        <f t="shared" si="8"/>
        <v>39841.217132720078</v>
      </c>
      <c r="H21" s="33">
        <f t="shared" si="8"/>
        <v>43040.185154419254</v>
      </c>
      <c r="I21" s="33">
        <f t="shared" si="8"/>
        <v>46257.185383291144</v>
      </c>
      <c r="J21" s="33">
        <f t="shared" si="8"/>
        <v>49457.964557910658</v>
      </c>
      <c r="K21" s="33">
        <f t="shared" si="8"/>
        <v>52605.789145366798</v>
      </c>
      <c r="L21" s="33">
        <f t="shared" si="8"/>
        <v>55662.061504270765</v>
      </c>
      <c r="M21" s="33">
        <f t="shared" si="8"/>
        <v>58587.037239323057</v>
      </c>
      <c r="N21" s="33">
        <f t="shared" si="8"/>
        <v>61340.627989571236</v>
      </c>
      <c r="P21" s="2" t="s">
        <v>91</v>
      </c>
    </row>
    <row r="22" spans="2:16" ht="13.95" customHeight="1" x14ac:dyDescent="0.3">
      <c r="B22" s="8" t="s">
        <v>56</v>
      </c>
      <c r="D22" s="11">
        <f>D21/C21-1</f>
        <v>0.10483641212702732</v>
      </c>
      <c r="E22" s="11">
        <f>E21/D21-1</f>
        <v>9.6939393620030234E-2</v>
      </c>
      <c r="F22" s="11">
        <f>$E$22+(g_-$E$22)*1/9</f>
        <v>9.1390572106693546E-2</v>
      </c>
      <c r="G22" s="11">
        <f>$E$22+(g_-$E$22)*2/9</f>
        <v>8.5841750593356844E-2</v>
      </c>
      <c r="H22" s="11">
        <f>$E$22+(g_-$E$22)*3/9</f>
        <v>8.0292929080020156E-2</v>
      </c>
      <c r="I22" s="11">
        <f>$E$22+(g_-$E$22)*4/9</f>
        <v>7.4744107566683468E-2</v>
      </c>
      <c r="J22" s="11">
        <f>$E$22+(g_-$E$22)*5/9</f>
        <v>6.9195286053346766E-2</v>
      </c>
      <c r="K22" s="11">
        <f>$E$22+(g_-$E$22)*6/9</f>
        <v>6.3646464540010078E-2</v>
      </c>
      <c r="L22" s="11">
        <f>$E$22+(g_-$E$22)*7/9</f>
        <v>5.809764302667339E-2</v>
      </c>
      <c r="M22" s="11">
        <f>$E$22+(g_-$E$22)*8/9</f>
        <v>5.2548821513336695E-2</v>
      </c>
      <c r="N22" s="11">
        <f>$E$22+(g_-$E$22)*9/9</f>
        <v>4.7E-2</v>
      </c>
      <c r="P22" s="2" t="s">
        <v>92</v>
      </c>
    </row>
    <row r="23" spans="2:16" ht="13.95" customHeight="1" x14ac:dyDescent="0.3">
      <c r="B23" s="8" t="s">
        <v>93</v>
      </c>
      <c r="C23" s="34">
        <v>0.15379000000000001</v>
      </c>
      <c r="D23" s="34">
        <v>0.15855</v>
      </c>
      <c r="E23" s="34">
        <v>0.1615</v>
      </c>
      <c r="F23" s="35">
        <f t="shared" ref="F23:N23" si="9">$E$23</f>
        <v>0.1615</v>
      </c>
      <c r="G23" s="35">
        <f t="shared" si="9"/>
        <v>0.1615</v>
      </c>
      <c r="H23" s="35">
        <f t="shared" si="9"/>
        <v>0.1615</v>
      </c>
      <c r="I23" s="35">
        <f t="shared" si="9"/>
        <v>0.1615</v>
      </c>
      <c r="J23" s="35">
        <f t="shared" si="9"/>
        <v>0.1615</v>
      </c>
      <c r="K23" s="35">
        <f t="shared" si="9"/>
        <v>0.1615</v>
      </c>
      <c r="L23" s="35">
        <f t="shared" si="9"/>
        <v>0.1615</v>
      </c>
      <c r="M23" s="35">
        <f t="shared" si="9"/>
        <v>0.1615</v>
      </c>
      <c r="N23" s="35">
        <f t="shared" si="9"/>
        <v>0.1615</v>
      </c>
      <c r="P23" s="2" t="s">
        <v>94</v>
      </c>
    </row>
    <row r="24" spans="2:16" ht="13.95" customHeight="1" x14ac:dyDescent="0.3">
      <c r="B24" s="8" t="s">
        <v>95</v>
      </c>
      <c r="C24" s="36">
        <f t="shared" ref="C24:N24" si="10">C21/C23</f>
        <v>180375.3364978217</v>
      </c>
      <c r="D24" s="36">
        <f t="shared" si="10"/>
        <v>193302.28319142226</v>
      </c>
      <c r="E24" s="36">
        <f t="shared" si="10"/>
        <v>208167.69659442722</v>
      </c>
      <c r="F24" s="36">
        <f t="shared" si="10"/>
        <v>227192.26148032455</v>
      </c>
      <c r="G24" s="36">
        <f t="shared" si="10"/>
        <v>246694.8429270593</v>
      </c>
      <c r="H24" s="36">
        <f t="shared" si="10"/>
        <v>266502.69445460837</v>
      </c>
      <c r="I24" s="36">
        <f t="shared" si="10"/>
        <v>286422.20051573461</v>
      </c>
      <c r="J24" s="36">
        <f t="shared" si="10"/>
        <v>306241.26661244989</v>
      </c>
      <c r="K24" s="36">
        <f t="shared" si="10"/>
        <v>325732.44052858697</v>
      </c>
      <c r="L24" s="36">
        <f t="shared" si="10"/>
        <v>344656.72758062393</v>
      </c>
      <c r="M24" s="36">
        <f t="shared" si="10"/>
        <v>362768.03244162881</v>
      </c>
      <c r="N24" s="36">
        <f t="shared" si="10"/>
        <v>379818.12996638537</v>
      </c>
    </row>
    <row r="25" spans="2:16" ht="13.95" customHeight="1" x14ac:dyDescent="0.3">
      <c r="B25" s="13" t="s">
        <v>96</v>
      </c>
      <c r="D25" s="33">
        <f t="shared" ref="D25:N25" si="11">D21-(D24-C24)</f>
        <v>17721.130306399438</v>
      </c>
      <c r="E25" s="33">
        <f t="shared" si="11"/>
        <v>18753.669596995038</v>
      </c>
      <c r="F25" s="33">
        <f t="shared" si="11"/>
        <v>17666.985343175089</v>
      </c>
      <c r="G25" s="33">
        <f t="shared" si="11"/>
        <v>20338.635685985326</v>
      </c>
      <c r="H25" s="33">
        <f t="shared" si="11"/>
        <v>23232.33362687019</v>
      </c>
      <c r="I25" s="33">
        <f t="shared" si="11"/>
        <v>26337.679322164899</v>
      </c>
      <c r="J25" s="33">
        <f t="shared" si="11"/>
        <v>29638.898461195378</v>
      </c>
      <c r="K25" s="33">
        <f t="shared" si="11"/>
        <v>33114.615229229719</v>
      </c>
      <c r="L25" s="33">
        <f t="shared" si="11"/>
        <v>36737.774452233803</v>
      </c>
      <c r="M25" s="33">
        <f t="shared" si="11"/>
        <v>40475.732378318186</v>
      </c>
      <c r="N25" s="33">
        <f t="shared" si="11"/>
        <v>44290.53046481467</v>
      </c>
      <c r="P25" s="2" t="s">
        <v>97</v>
      </c>
    </row>
    <row r="26" spans="2:16" ht="13.95" customHeight="1" x14ac:dyDescent="0.3">
      <c r="B26" s="8" t="s">
        <v>58</v>
      </c>
      <c r="D26" s="11">
        <f t="shared" ref="D26:N26" si="12">D25/D21</f>
        <v>0.57821344896775861</v>
      </c>
      <c r="E26" s="11">
        <f t="shared" si="12"/>
        <v>0.55782811199802917</v>
      </c>
      <c r="F26" s="11">
        <f t="shared" si="12"/>
        <v>0.48150010650617636</v>
      </c>
      <c r="G26" s="11">
        <f t="shared" si="12"/>
        <v>0.51049232803889355</v>
      </c>
      <c r="H26" s="11">
        <f t="shared" si="12"/>
        <v>0.53978238112864518</v>
      </c>
      <c r="I26" s="11">
        <f t="shared" si="12"/>
        <v>0.56937487881998328</v>
      </c>
      <c r="J26" s="11">
        <f t="shared" si="12"/>
        <v>0.59927452991905872</v>
      </c>
      <c r="K26" s="11">
        <f t="shared" si="12"/>
        <v>0.62948614149144944</v>
      </c>
      <c r="L26" s="11">
        <f t="shared" si="12"/>
        <v>0.66001462143860834</v>
      </c>
      <c r="M26" s="11">
        <f t="shared" si="12"/>
        <v>0.69086498115578476</v>
      </c>
      <c r="N26" s="11">
        <f t="shared" si="12"/>
        <v>0.72204233827447417</v>
      </c>
      <c r="P26" s="2" t="s">
        <v>98</v>
      </c>
    </row>
    <row r="27" spans="2:16" ht="13.95" customHeight="1" x14ac:dyDescent="0.3">
      <c r="B27" s="37" t="s">
        <v>27</v>
      </c>
      <c r="C27" s="38">
        <v>10039.70324411161</v>
      </c>
      <c r="D27" s="39">
        <v>226447.75534606999</v>
      </c>
      <c r="E27" s="40">
        <f>C27/D27</f>
        <v>4.4335627124094827E-2</v>
      </c>
      <c r="P27" s="2" t="s">
        <v>99</v>
      </c>
    </row>
    <row r="28" spans="2:16" ht="13.95" customHeight="1" x14ac:dyDescent="0.3">
      <c r="B28" s="8" t="s">
        <v>29</v>
      </c>
      <c r="C28" s="23">
        <f t="shared" ref="C28:N28" si="13">C21*$E$27</f>
        <v>1229.8668825791019</v>
      </c>
      <c r="D28" s="23">
        <f t="shared" si="13"/>
        <v>1358.8017139425469</v>
      </c>
      <c r="E28" s="23">
        <f t="shared" si="13"/>
        <v>1490.5231281419951</v>
      </c>
      <c r="F28" s="23">
        <f t="shared" si="13"/>
        <v>1626.7428895611508</v>
      </c>
      <c r="G28" s="23">
        <f t="shared" si="13"/>
        <v>1766.3853469663759</v>
      </c>
      <c r="H28" s="23">
        <f t="shared" si="13"/>
        <v>1908.2136003583337</v>
      </c>
      <c r="I28" s="23">
        <f t="shared" si="13"/>
        <v>2050.8413229637258</v>
      </c>
      <c r="J28" s="23">
        <f t="shared" si="13"/>
        <v>2192.7498749562246</v>
      </c>
      <c r="K28" s="23">
        <f t="shared" si="13"/>
        <v>2332.3106521177374</v>
      </c>
      <c r="L28" s="23">
        <f t="shared" si="13"/>
        <v>2467.8124038117812</v>
      </c>
      <c r="M28" s="23">
        <f t="shared" si="13"/>
        <v>2597.4930373480852</v>
      </c>
      <c r="N28" s="23">
        <f t="shared" si="13"/>
        <v>2719.575210103445</v>
      </c>
    </row>
    <row r="29" spans="2:16" ht="13.95" customHeight="1" x14ac:dyDescent="0.3">
      <c r="B29" s="8" t="s">
        <v>30</v>
      </c>
      <c r="D29" s="23">
        <f t="shared" ref="D29:N29" si="14">D25*$E$27</f>
        <v>785.67742548202182</v>
      </c>
      <c r="E29" s="23">
        <f t="shared" si="14"/>
        <v>831.45570246084571</v>
      </c>
      <c r="F29" s="23">
        <f t="shared" si="14"/>
        <v>783.27687458185926</v>
      </c>
      <c r="G29" s="23">
        <f t="shared" si="14"/>
        <v>901.72616798665399</v>
      </c>
      <c r="H29" s="23">
        <f t="shared" si="14"/>
        <v>1030.0200809034864</v>
      </c>
      <c r="I29" s="23">
        <f t="shared" si="14"/>
        <v>1167.6975297414856</v>
      </c>
      <c r="J29" s="23">
        <f t="shared" si="14"/>
        <v>1314.0591505444663</v>
      </c>
      <c r="K29" s="23">
        <f t="shared" si="14"/>
        <v>1468.1572331610007</v>
      </c>
      <c r="L29" s="23">
        <f t="shared" si="14"/>
        <v>1628.7922694833351</v>
      </c>
      <c r="M29" s="23">
        <f t="shared" si="14"/>
        <v>1794.5169782997671</v>
      </c>
      <c r="N29" s="23">
        <f t="shared" si="14"/>
        <v>1963.6484438163857</v>
      </c>
    </row>
    <row r="30" spans="2:16" ht="13.95" customHeight="1" x14ac:dyDescent="0.3">
      <c r="B30" s="8" t="s">
        <v>100</v>
      </c>
      <c r="C30" s="23">
        <f t="shared" ref="C30:N30" si="15">C24*$E$27</f>
        <v>7997.0536613505556</v>
      </c>
      <c r="D30" s="23">
        <f t="shared" si="15"/>
        <v>8570.1779498110809</v>
      </c>
      <c r="E30" s="23">
        <f t="shared" si="15"/>
        <v>9229.2453754922299</v>
      </c>
      <c r="F30" s="23">
        <f t="shared" si="15"/>
        <v>10072.711390471522</v>
      </c>
      <c r="G30" s="23">
        <f t="shared" si="15"/>
        <v>10937.370569451243</v>
      </c>
      <c r="H30" s="23">
        <f t="shared" si="15"/>
        <v>11815.564088906091</v>
      </c>
      <c r="I30" s="23">
        <f t="shared" si="15"/>
        <v>12698.70788212833</v>
      </c>
      <c r="J30" s="23">
        <f t="shared" si="15"/>
        <v>13577.39860654009</v>
      </c>
      <c r="K30" s="23">
        <f t="shared" si="15"/>
        <v>14441.552025496825</v>
      </c>
      <c r="L30" s="23">
        <f t="shared" si="15"/>
        <v>15280.572159825273</v>
      </c>
      <c r="M30" s="23">
        <f t="shared" si="15"/>
        <v>16083.54821887359</v>
      </c>
      <c r="N30" s="23">
        <f t="shared" si="15"/>
        <v>16839.47498516065</v>
      </c>
    </row>
    <row r="33" spans="2:16" ht="13.95" customHeight="1" x14ac:dyDescent="0.3">
      <c r="B33" s="52" t="s">
        <v>102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</row>
    <row r="34" spans="2:16" ht="13.95" customHeight="1" x14ac:dyDescent="0.3">
      <c r="B34" s="6" t="s">
        <v>7</v>
      </c>
      <c r="C34" s="7" t="s">
        <v>8</v>
      </c>
      <c r="D34" s="7" t="s">
        <v>9</v>
      </c>
      <c r="E34" s="7" t="s">
        <v>10</v>
      </c>
      <c r="F34" s="7" t="s">
        <v>11</v>
      </c>
      <c r="G34" s="7" t="s">
        <v>12</v>
      </c>
      <c r="H34" s="7" t="s">
        <v>13</v>
      </c>
      <c r="I34" s="7" t="s">
        <v>14</v>
      </c>
      <c r="J34" s="7" t="s">
        <v>15</v>
      </c>
      <c r="K34" s="7" t="s">
        <v>16</v>
      </c>
      <c r="L34" s="7" t="s">
        <v>17</v>
      </c>
      <c r="M34" s="7" t="s">
        <v>18</v>
      </c>
      <c r="N34" s="7" t="s">
        <v>19</v>
      </c>
      <c r="P34" s="7" t="s">
        <v>20</v>
      </c>
    </row>
    <row r="35" spans="2:16" ht="13.95" customHeight="1" x14ac:dyDescent="0.3">
      <c r="B35" s="13" t="s">
        <v>21</v>
      </c>
      <c r="C35" s="32">
        <v>5982</v>
      </c>
      <c r="D35" s="32">
        <v>6425.4000000000005</v>
      </c>
      <c r="E35" s="32">
        <v>6561.2219999999998</v>
      </c>
      <c r="F35" s="33">
        <f t="shared" ref="F35:N35" si="16">E35*(1+F36)</f>
        <v>6718.7688664345233</v>
      </c>
      <c r="G35" s="33">
        <f t="shared" si="16"/>
        <v>6899.4052549590688</v>
      </c>
      <c r="H35" s="33">
        <f t="shared" si="16"/>
        <v>7104.7237125265938</v>
      </c>
      <c r="I35" s="33">
        <f t="shared" si="16"/>
        <v>7336.5677995008236</v>
      </c>
      <c r="J35" s="33">
        <f t="shared" si="16"/>
        <v>7597.0593069953784</v>
      </c>
      <c r="K35" s="33">
        <f t="shared" si="16"/>
        <v>7888.630125262699</v>
      </c>
      <c r="L35" s="33">
        <f t="shared" si="16"/>
        <v>8214.0594242601619</v>
      </c>
      <c r="M35" s="33">
        <f t="shared" si="16"/>
        <v>8576.5169302483228</v>
      </c>
      <c r="N35" s="33">
        <f t="shared" si="16"/>
        <v>8979.6132259699934</v>
      </c>
      <c r="P35" s="2" t="s">
        <v>91</v>
      </c>
    </row>
    <row r="36" spans="2:16" ht="13.95" customHeight="1" x14ac:dyDescent="0.3">
      <c r="B36" s="8" t="s">
        <v>56</v>
      </c>
      <c r="D36" s="11">
        <f>D35/C35-1</f>
        <v>7.4122367101304043E-2</v>
      </c>
      <c r="E36" s="11">
        <f>E35/D35-1</f>
        <v>2.1138294892146581E-2</v>
      </c>
      <c r="F36" s="11">
        <f>$E$36+(g_-$E$36)*1/9</f>
        <v>2.4011817681908073E-2</v>
      </c>
      <c r="G36" s="11">
        <f>$E$36+(g_-$E$36)*2/9</f>
        <v>2.6885340471669562E-2</v>
      </c>
      <c r="H36" s="11">
        <f>$E$36+(g_-$E$36)*3/9</f>
        <v>2.9758863261431054E-2</v>
      </c>
      <c r="I36" s="11">
        <f>$E$36+(g_-$E$36)*4/9</f>
        <v>3.2632386051192543E-2</v>
      </c>
      <c r="J36" s="11">
        <f>$E$36+(g_-$E$36)*5/9</f>
        <v>3.5505908840954031E-2</v>
      </c>
      <c r="K36" s="11">
        <f>$E$36+(g_-$E$36)*6/9</f>
        <v>3.8379431630715527E-2</v>
      </c>
      <c r="L36" s="11">
        <f>$E$36+(g_-$E$36)*7/9</f>
        <v>4.1252954420477023E-2</v>
      </c>
      <c r="M36" s="11">
        <f>$E$36+(g_-$E$36)*8/9</f>
        <v>4.4126477210238504E-2</v>
      </c>
      <c r="N36" s="11">
        <f>$E$36+(g_-$E$36)*9/9</f>
        <v>4.7E-2</v>
      </c>
      <c r="P36" s="2" t="s">
        <v>92</v>
      </c>
    </row>
    <row r="37" spans="2:16" ht="13.95" customHeight="1" x14ac:dyDescent="0.3">
      <c r="B37" s="8" t="s">
        <v>93</v>
      </c>
      <c r="C37" s="34">
        <v>0.33629999999999999</v>
      </c>
      <c r="D37" s="34">
        <v>0.34744000000000003</v>
      </c>
      <c r="E37" s="34">
        <v>0.37808999999999998</v>
      </c>
      <c r="F37" s="35">
        <f t="shared" ref="F37:N37" si="17">$E$37</f>
        <v>0.37808999999999998</v>
      </c>
      <c r="G37" s="35">
        <f t="shared" si="17"/>
        <v>0.37808999999999998</v>
      </c>
      <c r="H37" s="35">
        <f t="shared" si="17"/>
        <v>0.37808999999999998</v>
      </c>
      <c r="I37" s="35">
        <f t="shared" si="17"/>
        <v>0.37808999999999998</v>
      </c>
      <c r="J37" s="35">
        <f t="shared" si="17"/>
        <v>0.37808999999999998</v>
      </c>
      <c r="K37" s="35">
        <f t="shared" si="17"/>
        <v>0.37808999999999998</v>
      </c>
      <c r="L37" s="35">
        <f t="shared" si="17"/>
        <v>0.37808999999999998</v>
      </c>
      <c r="M37" s="35">
        <f t="shared" si="17"/>
        <v>0.37808999999999998</v>
      </c>
      <c r="N37" s="35">
        <f t="shared" si="17"/>
        <v>0.37808999999999998</v>
      </c>
      <c r="P37" s="2" t="s">
        <v>94</v>
      </c>
    </row>
    <row r="38" spans="2:16" ht="13.95" customHeight="1" x14ac:dyDescent="0.3">
      <c r="B38" s="8" t="s">
        <v>95</v>
      </c>
      <c r="C38" s="36">
        <f t="shared" ref="C38:N38" si="18">C35/C37</f>
        <v>17787.689562890278</v>
      </c>
      <c r="D38" s="36">
        <f t="shared" si="18"/>
        <v>18493.55284365646</v>
      </c>
      <c r="E38" s="36">
        <f t="shared" si="18"/>
        <v>17353.598349599302</v>
      </c>
      <c r="F38" s="36">
        <f t="shared" si="18"/>
        <v>17770.28978929494</v>
      </c>
      <c r="G38" s="36">
        <f t="shared" si="18"/>
        <v>18248.050080560366</v>
      </c>
      <c r="H38" s="36">
        <f t="shared" si="18"/>
        <v>18791.091307695508</v>
      </c>
      <c r="I38" s="36">
        <f t="shared" si="18"/>
        <v>19404.289453571437</v>
      </c>
      <c r="J38" s="36">
        <f t="shared" si="18"/>
        <v>20093.256386033427</v>
      </c>
      <c r="K38" s="36">
        <f t="shared" si="18"/>
        <v>20864.424145739638</v>
      </c>
      <c r="L38" s="36">
        <f t="shared" si="18"/>
        <v>21725.143284033333</v>
      </c>
      <c r="M38" s="36">
        <f t="shared" si="18"/>
        <v>22683.797324045394</v>
      </c>
      <c r="N38" s="36">
        <f t="shared" si="18"/>
        <v>23749.935798275528</v>
      </c>
    </row>
    <row r="39" spans="2:16" ht="13.95" customHeight="1" x14ac:dyDescent="0.3">
      <c r="B39" s="13" t="s">
        <v>96</v>
      </c>
      <c r="D39" s="33">
        <f t="shared" ref="D39:N39" si="19">D35-(D38-C38)</f>
        <v>5719.536719233819</v>
      </c>
      <c r="E39" s="33">
        <f t="shared" si="19"/>
        <v>7701.1764940571575</v>
      </c>
      <c r="F39" s="33">
        <f t="shared" si="19"/>
        <v>6302.0774267388852</v>
      </c>
      <c r="G39" s="33">
        <f t="shared" si="19"/>
        <v>6421.6449636936431</v>
      </c>
      <c r="H39" s="33">
        <f t="shared" si="19"/>
        <v>6561.6824853914522</v>
      </c>
      <c r="I39" s="33">
        <f t="shared" si="19"/>
        <v>6723.3696536248945</v>
      </c>
      <c r="J39" s="33">
        <f t="shared" si="19"/>
        <v>6908.0923745333885</v>
      </c>
      <c r="K39" s="33">
        <f t="shared" si="19"/>
        <v>7117.4623655564874</v>
      </c>
      <c r="L39" s="33">
        <f t="shared" si="19"/>
        <v>7353.3402859664675</v>
      </c>
      <c r="M39" s="33">
        <f t="shared" si="19"/>
        <v>7617.8628902362616</v>
      </c>
      <c r="N39" s="33">
        <f t="shared" si="19"/>
        <v>7913.4747517398591</v>
      </c>
      <c r="P39" s="2" t="s">
        <v>97</v>
      </c>
    </row>
    <row r="40" spans="2:16" ht="13.95" customHeight="1" x14ac:dyDescent="0.3">
      <c r="B40" s="8" t="s">
        <v>58</v>
      </c>
      <c r="D40" s="11">
        <f t="shared" ref="D40:N40" si="20">D39/D35</f>
        <v>0.89014485000681953</v>
      </c>
      <c r="E40" s="11">
        <f t="shared" si="20"/>
        <v>1.1737411863304057</v>
      </c>
      <c r="F40" s="11">
        <f t="shared" si="20"/>
        <v>0.93798098312663558</v>
      </c>
      <c r="G40" s="11">
        <f t="shared" si="20"/>
        <v>0.93075340937220252</v>
      </c>
      <c r="H40" s="11">
        <f t="shared" si="20"/>
        <v>0.92356617243571537</v>
      </c>
      <c r="I40" s="11">
        <f t="shared" si="20"/>
        <v>0.91641893557943388</v>
      </c>
      <c r="J40" s="11">
        <f t="shared" si="20"/>
        <v>0.90931136580339866</v>
      </c>
      <c r="K40" s="11">
        <f t="shared" si="20"/>
        <v>0.90224313379371035</v>
      </c>
      <c r="L40" s="11">
        <f t="shared" si="20"/>
        <v>0.89521391387167626</v>
      </c>
      <c r="M40" s="11">
        <f t="shared" si="20"/>
        <v>0.8882233839437772</v>
      </c>
      <c r="N40" s="11">
        <f t="shared" si="20"/>
        <v>0.88127122545247838</v>
      </c>
      <c r="P40" s="2" t="s">
        <v>98</v>
      </c>
    </row>
    <row r="41" spans="2:16" ht="13.95" customHeight="1" x14ac:dyDescent="0.3">
      <c r="B41" s="37" t="s">
        <v>27</v>
      </c>
      <c r="C41" s="38">
        <v>8337.4034514344039</v>
      </c>
      <c r="D41" s="39">
        <v>112688.345</v>
      </c>
      <c r="E41" s="40">
        <f>C41/D41</f>
        <v>7.398638653744008E-2</v>
      </c>
      <c r="P41" s="2" t="s">
        <v>99</v>
      </c>
    </row>
    <row r="42" spans="2:16" ht="13.95" customHeight="1" x14ac:dyDescent="0.3">
      <c r="B42" s="8" t="s">
        <v>29</v>
      </c>
      <c r="C42" s="23">
        <f t="shared" ref="C42:N42" si="21">C35*$E$41</f>
        <v>442.58656426696655</v>
      </c>
      <c r="D42" s="23">
        <f t="shared" si="21"/>
        <v>475.39212805766755</v>
      </c>
      <c r="E42" s="23">
        <f t="shared" si="21"/>
        <v>485.44110704995563</v>
      </c>
      <c r="F42" s="23">
        <f t="shared" si="21"/>
        <v>497.09743040774276</v>
      </c>
      <c r="G42" s="23">
        <f t="shared" si="21"/>
        <v>510.46206407184701</v>
      </c>
      <c r="H42" s="23">
        <f t="shared" si="21"/>
        <v>525.65283483670885</v>
      </c>
      <c r="I42" s="23">
        <f t="shared" si="21"/>
        <v>542.80614107200415</v>
      </c>
      <c r="J42" s="23">
        <f t="shared" si="21"/>
        <v>562.07896643521667</v>
      </c>
      <c r="K42" s="23">
        <f t="shared" si="21"/>
        <v>583.65123769858042</v>
      </c>
      <c r="L42" s="23">
        <f t="shared" si="21"/>
        <v>607.72857560481486</v>
      </c>
      <c r="M42" s="23">
        <f t="shared" si="21"/>
        <v>634.54549674625139</v>
      </c>
      <c r="N42" s="23">
        <f t="shared" si="21"/>
        <v>664.36913509332521</v>
      </c>
    </row>
    <row r="43" spans="2:16" ht="13.95" customHeight="1" x14ac:dyDescent="0.3">
      <c r="B43" s="8" t="s">
        <v>30</v>
      </c>
      <c r="D43" s="23">
        <f t="shared" ref="D43:N43" si="22">D39*$E$41</f>
        <v>423.1678545243152</v>
      </c>
      <c r="E43" s="23">
        <f t="shared" si="22"/>
        <v>569.78222088236043</v>
      </c>
      <c r="F43" s="23">
        <f t="shared" si="22"/>
        <v>466.26793648357886</v>
      </c>
      <c r="G43" s="23">
        <f t="shared" si="22"/>
        <v>475.11430649004325</v>
      </c>
      <c r="H43" s="23">
        <f t="shared" si="22"/>
        <v>485.47517670012252</v>
      </c>
      <c r="I43" s="23">
        <f t="shared" si="22"/>
        <v>497.43782602718608</v>
      </c>
      <c r="J43" s="23">
        <f t="shared" si="22"/>
        <v>511.10479265856958</v>
      </c>
      <c r="K43" s="23">
        <f t="shared" si="22"/>
        <v>526.59532174374488</v>
      </c>
      <c r="L43" s="23">
        <f t="shared" si="22"/>
        <v>544.04707673884525</v>
      </c>
      <c r="M43" s="23">
        <f t="shared" si="22"/>
        <v>563.61814838624048</v>
      </c>
      <c r="N43" s="23">
        <f t="shared" si="22"/>
        <v>585.4894018364979</v>
      </c>
    </row>
    <row r="44" spans="2:16" ht="13.95" customHeight="1" x14ac:dyDescent="0.3">
      <c r="B44" s="8" t="s">
        <v>100</v>
      </c>
      <c r="C44" s="23">
        <f t="shared" ref="C44:N44" si="23">C38*$E$41</f>
        <v>1316.0468756079888</v>
      </c>
      <c r="D44" s="23">
        <f t="shared" si="23"/>
        <v>1368.2711491413411</v>
      </c>
      <c r="E44" s="23">
        <f t="shared" si="23"/>
        <v>1283.9300353089361</v>
      </c>
      <c r="F44" s="23">
        <f t="shared" si="23"/>
        <v>1314.7595292331</v>
      </c>
      <c r="G44" s="23">
        <f t="shared" si="23"/>
        <v>1350.1072868149038</v>
      </c>
      <c r="H44" s="23">
        <f t="shared" si="23"/>
        <v>1390.2849449514902</v>
      </c>
      <c r="I44" s="23">
        <f t="shared" si="23"/>
        <v>1435.6532599963082</v>
      </c>
      <c r="J44" s="23">
        <f t="shared" si="23"/>
        <v>1486.6274337729553</v>
      </c>
      <c r="K44" s="23">
        <f t="shared" si="23"/>
        <v>1543.683349727791</v>
      </c>
      <c r="L44" s="23">
        <f t="shared" si="23"/>
        <v>1607.3648485937606</v>
      </c>
      <c r="M44" s="23">
        <f t="shared" si="23"/>
        <v>1678.2921969537715</v>
      </c>
      <c r="N44" s="23">
        <f t="shared" si="23"/>
        <v>1757.1719302105987</v>
      </c>
    </row>
    <row r="47" spans="2:16" ht="13.95" customHeight="1" x14ac:dyDescent="0.3">
      <c r="B47" s="52" t="s">
        <v>103</v>
      </c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</row>
    <row r="48" spans="2:16" ht="13.95" customHeight="1" x14ac:dyDescent="0.3">
      <c r="B48" s="6" t="s">
        <v>7</v>
      </c>
      <c r="C48" s="7" t="s">
        <v>8</v>
      </c>
      <c r="D48" s="7" t="s">
        <v>9</v>
      </c>
      <c r="E48" s="7" t="s">
        <v>10</v>
      </c>
      <c r="F48" s="7" t="s">
        <v>11</v>
      </c>
      <c r="G48" s="7" t="s">
        <v>12</v>
      </c>
      <c r="H48" s="7" t="s">
        <v>13</v>
      </c>
      <c r="I48" s="7" t="s">
        <v>14</v>
      </c>
      <c r="J48" s="7" t="s">
        <v>15</v>
      </c>
      <c r="K48" s="7" t="s">
        <v>16</v>
      </c>
      <c r="L48" s="7" t="s">
        <v>17</v>
      </c>
      <c r="M48" s="7" t="s">
        <v>18</v>
      </c>
      <c r="N48" s="7" t="s">
        <v>19</v>
      </c>
      <c r="P48" s="7" t="s">
        <v>20</v>
      </c>
    </row>
    <row r="49" spans="2:16" ht="13.95" customHeight="1" x14ac:dyDescent="0.3">
      <c r="B49" s="13" t="s">
        <v>21</v>
      </c>
      <c r="C49" s="32">
        <v>19414</v>
      </c>
      <c r="D49" s="32">
        <v>20412</v>
      </c>
      <c r="E49" s="32">
        <v>23060</v>
      </c>
      <c r="F49" s="33">
        <f t="shared" ref="F49:N49" si="24">E49*(1+F50)</f>
        <v>25839.552190650375</v>
      </c>
      <c r="G49" s="33">
        <f t="shared" si="24"/>
        <v>28716.623476068307</v>
      </c>
      <c r="H49" s="33">
        <f t="shared" si="24"/>
        <v>31650.076554220905</v>
      </c>
      <c r="I49" s="33">
        <f t="shared" si="24"/>
        <v>34592.260834444627</v>
      </c>
      <c r="J49" s="33">
        <f t="shared" si="24"/>
        <v>37489.979362621503</v>
      </c>
      <c r="K49" s="33">
        <f t="shared" si="24"/>
        <v>40285.827204980662</v>
      </c>
      <c r="L49" s="33">
        <f t="shared" si="24"/>
        <v>42919.872250337052</v>
      </c>
      <c r="M49" s="33">
        <f t="shared" si="24"/>
        <v>45331.62385773287</v>
      </c>
      <c r="N49" s="33">
        <f t="shared" si="24"/>
        <v>47462.210179046313</v>
      </c>
      <c r="P49" s="2" t="s">
        <v>91</v>
      </c>
    </row>
    <row r="50" spans="2:16" ht="13.95" customHeight="1" x14ac:dyDescent="0.3">
      <c r="B50" s="8" t="s">
        <v>56</v>
      </c>
      <c r="D50" s="11">
        <f>D49/C49-1</f>
        <v>5.1406201710106014E-2</v>
      </c>
      <c r="E50" s="11">
        <f>E49/D49-1</f>
        <v>0.1297276112090926</v>
      </c>
      <c r="F50" s="11">
        <f>$E$50+(g_-$E$50)*1/9</f>
        <v>0.12053565440808231</v>
      </c>
      <c r="G50" s="11">
        <f>$E$50+(g_-$E$50)*2/9</f>
        <v>0.11134369760707202</v>
      </c>
      <c r="H50" s="11">
        <f>$E$50+(g_-$E$50)*3/9</f>
        <v>0.10215174080606174</v>
      </c>
      <c r="I50" s="11">
        <f>$E$50+(g_-$E$50)*4/9</f>
        <v>9.2959784005051449E-2</v>
      </c>
      <c r="J50" s="11">
        <f>$E$50+(g_-$E$50)*5/9</f>
        <v>8.3767827204041162E-2</v>
      </c>
      <c r="K50" s="11">
        <f>$E$50+(g_-$E$50)*6/9</f>
        <v>7.4575870403030875E-2</v>
      </c>
      <c r="L50" s="11">
        <f>$E$50+(g_-$E$50)*7/9</f>
        <v>6.5383913602020574E-2</v>
      </c>
      <c r="M50" s="11">
        <f>$E$50+(g_-$E$50)*8/9</f>
        <v>5.6191956801010287E-2</v>
      </c>
      <c r="N50" s="11">
        <f>$E$50+(g_-$E$50)*9/9</f>
        <v>4.7E-2</v>
      </c>
      <c r="P50" s="2" t="s">
        <v>92</v>
      </c>
    </row>
    <row r="51" spans="2:16" ht="13.95" customHeight="1" x14ac:dyDescent="0.3">
      <c r="B51" s="8" t="s">
        <v>104</v>
      </c>
      <c r="C51" s="10">
        <v>0.24573999999999999</v>
      </c>
      <c r="D51" s="10">
        <v>0.24478</v>
      </c>
      <c r="E51" s="10">
        <v>0.24343000000000001</v>
      </c>
      <c r="F51" s="35">
        <f t="shared" ref="F51:N51" si="25">$E$51</f>
        <v>0.24343000000000001</v>
      </c>
      <c r="G51" s="35">
        <f t="shared" si="25"/>
        <v>0.24343000000000001</v>
      </c>
      <c r="H51" s="35">
        <f t="shared" si="25"/>
        <v>0.24343000000000001</v>
      </c>
      <c r="I51" s="35">
        <f t="shared" si="25"/>
        <v>0.24343000000000001</v>
      </c>
      <c r="J51" s="35">
        <f t="shared" si="25"/>
        <v>0.24343000000000001</v>
      </c>
      <c r="K51" s="35">
        <f t="shared" si="25"/>
        <v>0.24343000000000001</v>
      </c>
      <c r="L51" s="35">
        <f t="shared" si="25"/>
        <v>0.24343000000000001</v>
      </c>
      <c r="M51" s="35">
        <f t="shared" si="25"/>
        <v>0.24343000000000001</v>
      </c>
      <c r="N51" s="35">
        <f t="shared" si="25"/>
        <v>0.24343000000000001</v>
      </c>
      <c r="P51" s="2" t="s">
        <v>105</v>
      </c>
    </row>
    <row r="52" spans="2:16" ht="13.95" customHeight="1" x14ac:dyDescent="0.3">
      <c r="B52" s="8" t="s">
        <v>95</v>
      </c>
      <c r="C52" s="36">
        <f t="shared" ref="C52:N52" si="26">C49/C51</f>
        <v>79002.197444453486</v>
      </c>
      <c r="D52" s="36">
        <f t="shared" si="26"/>
        <v>83389.165781518095</v>
      </c>
      <c r="E52" s="36">
        <f t="shared" si="26"/>
        <v>94729.491024113711</v>
      </c>
      <c r="F52" s="36">
        <f t="shared" si="26"/>
        <v>106147.7722164498</v>
      </c>
      <c r="G52" s="36">
        <f t="shared" si="26"/>
        <v>117966.65766778255</v>
      </c>
      <c r="H52" s="36">
        <f t="shared" si="26"/>
        <v>130017.15710561929</v>
      </c>
      <c r="I52" s="36">
        <f t="shared" si="26"/>
        <v>142103.52394710851</v>
      </c>
      <c r="J52" s="36">
        <f t="shared" si="26"/>
        <v>154007.22738619521</v>
      </c>
      <c r="K52" s="36">
        <f t="shared" si="26"/>
        <v>165492.45041687822</v>
      </c>
      <c r="L52" s="36">
        <f t="shared" si="26"/>
        <v>176312.99449672207</v>
      </c>
      <c r="M52" s="36">
        <f t="shared" si="26"/>
        <v>186220.36666693861</v>
      </c>
      <c r="N52" s="36">
        <f t="shared" si="26"/>
        <v>194972.72390028473</v>
      </c>
    </row>
    <row r="53" spans="2:16" ht="13.95" customHeight="1" x14ac:dyDescent="0.3">
      <c r="B53" s="13" t="s">
        <v>96</v>
      </c>
      <c r="D53" s="33">
        <f t="shared" ref="D53:N53" si="27">D49-(D52-C52)</f>
        <v>16025.031662935391</v>
      </c>
      <c r="E53" s="33">
        <f t="shared" si="27"/>
        <v>11719.674757404384</v>
      </c>
      <c r="F53" s="33">
        <f t="shared" si="27"/>
        <v>14421.270998314289</v>
      </c>
      <c r="G53" s="33">
        <f t="shared" si="27"/>
        <v>16897.738024735554</v>
      </c>
      <c r="H53" s="33">
        <f t="shared" si="27"/>
        <v>19599.577116384164</v>
      </c>
      <c r="I53" s="33">
        <f t="shared" si="27"/>
        <v>22505.893992955411</v>
      </c>
      <c r="J53" s="33">
        <f t="shared" si="27"/>
        <v>25586.275923534798</v>
      </c>
      <c r="K53" s="33">
        <f t="shared" si="27"/>
        <v>28800.604174297659</v>
      </c>
      <c r="L53" s="33">
        <f t="shared" si="27"/>
        <v>32099.328170493201</v>
      </c>
      <c r="M53" s="33">
        <f t="shared" si="27"/>
        <v>35424.25168751632</v>
      </c>
      <c r="N53" s="33">
        <f t="shared" si="27"/>
        <v>38709.852945700193</v>
      </c>
      <c r="P53" s="2" t="s">
        <v>97</v>
      </c>
    </row>
    <row r="54" spans="2:16" ht="13.95" customHeight="1" x14ac:dyDescent="0.3">
      <c r="B54" s="8" t="s">
        <v>58</v>
      </c>
      <c r="D54" s="11">
        <f t="shared" ref="D54:N54" si="28">D53/D49</f>
        <v>0.78507895663998584</v>
      </c>
      <c r="E54" s="11">
        <f t="shared" si="28"/>
        <v>0.5082252713531823</v>
      </c>
      <c r="F54" s="11">
        <f t="shared" si="28"/>
        <v>0.55810839490989295</v>
      </c>
      <c r="G54" s="11">
        <f t="shared" si="28"/>
        <v>0.5884305318422165</v>
      </c>
      <c r="H54" s="11">
        <f t="shared" si="28"/>
        <v>0.61925844263938545</v>
      </c>
      <c r="I54" s="11">
        <f t="shared" si="28"/>
        <v>0.65060488820509721</v>
      </c>
      <c r="J54" s="11">
        <f t="shared" si="28"/>
        <v>0.68248306236852696</v>
      </c>
      <c r="K54" s="11">
        <f t="shared" si="28"/>
        <v>0.71490661040061632</v>
      </c>
      <c r="L54" s="11">
        <f t="shared" si="28"/>
        <v>0.74788964848890305</v>
      </c>
      <c r="M54" s="11">
        <f t="shared" si="28"/>
        <v>0.7814467842292725</v>
      </c>
      <c r="N54" s="11">
        <f t="shared" si="28"/>
        <v>0.81559313819713086</v>
      </c>
      <c r="P54" s="2" t="s">
        <v>98</v>
      </c>
    </row>
    <row r="55" spans="2:16" ht="13.95" customHeight="1" x14ac:dyDescent="0.3">
      <c r="B55" s="37" t="s">
        <v>27</v>
      </c>
      <c r="C55" s="38">
        <v>7020.6235863480097</v>
      </c>
      <c r="D55" s="39">
        <v>179573.1348910488</v>
      </c>
      <c r="E55" s="40">
        <f>C55/D55</f>
        <v>3.9096179896884825E-2</v>
      </c>
      <c r="P55" s="2" t="s">
        <v>99</v>
      </c>
    </row>
    <row r="56" spans="2:16" ht="13.95" customHeight="1" x14ac:dyDescent="0.3">
      <c r="B56" s="8" t="s">
        <v>29</v>
      </c>
      <c r="C56" s="23">
        <f t="shared" ref="C56:N56" si="29">C49*$E$55</f>
        <v>759.01323651812197</v>
      </c>
      <c r="D56" s="23">
        <f t="shared" si="29"/>
        <v>798.0312240552131</v>
      </c>
      <c r="E56" s="23">
        <f t="shared" si="29"/>
        <v>901.55790842216402</v>
      </c>
      <c r="F56" s="23">
        <f t="shared" si="29"/>
        <v>1010.2277809006114</v>
      </c>
      <c r="G56" s="23">
        <f t="shared" si="29"/>
        <v>1122.7102774514726</v>
      </c>
      <c r="H56" s="23">
        <f t="shared" si="29"/>
        <v>1237.3970867139972</v>
      </c>
      <c r="I56" s="23">
        <f t="shared" si="29"/>
        <v>1352.4252526234104</v>
      </c>
      <c r="J56" s="23">
        <f t="shared" si="29"/>
        <v>1465.7149774915497</v>
      </c>
      <c r="K56" s="23">
        <f t="shared" si="29"/>
        <v>1575.0219477007408</v>
      </c>
      <c r="L56" s="23">
        <f t="shared" si="29"/>
        <v>1678.0030466504923</v>
      </c>
      <c r="M56" s="23">
        <f t="shared" si="29"/>
        <v>1772.2933213598403</v>
      </c>
      <c r="N56" s="23">
        <f t="shared" si="29"/>
        <v>1855.5911074637527</v>
      </c>
    </row>
    <row r="57" spans="2:16" ht="13.95" customHeight="1" x14ac:dyDescent="0.3">
      <c r="B57" s="8" t="s">
        <v>30</v>
      </c>
      <c r="D57" s="23">
        <f t="shared" ref="D57:N57" si="30">D53*$E$55</f>
        <v>626.51752074739738</v>
      </c>
      <c r="E57" s="23">
        <f t="shared" si="30"/>
        <v>458.1945126484618</v>
      </c>
      <c r="F57" s="23">
        <f t="shared" si="30"/>
        <v>563.81660529182329</v>
      </c>
      <c r="G57" s="23">
        <f t="shared" si="30"/>
        <v>660.63700566549244</v>
      </c>
      <c r="H57" s="23">
        <f t="shared" si="30"/>
        <v>766.26859284502234</v>
      </c>
      <c r="I57" s="23">
        <f t="shared" si="30"/>
        <v>879.89448028880429</v>
      </c>
      <c r="J57" s="23">
        <f t="shared" si="30"/>
        <v>1000.3256463978494</v>
      </c>
      <c r="K57" s="23">
        <f t="shared" si="30"/>
        <v>1125.9936019373133</v>
      </c>
      <c r="L57" s="23">
        <f t="shared" si="30"/>
        <v>1254.9611087227452</v>
      </c>
      <c r="M57" s="23">
        <f t="shared" si="30"/>
        <v>1384.9529166876639</v>
      </c>
      <c r="N57" s="23">
        <f t="shared" si="30"/>
        <v>1513.4073745470516</v>
      </c>
    </row>
    <row r="58" spans="2:16" ht="13.95" customHeight="1" x14ac:dyDescent="0.3">
      <c r="B58" s="8" t="s">
        <v>100</v>
      </c>
      <c r="C58" s="23">
        <f t="shared" ref="C58:N58" si="31">C52*$E$55</f>
        <v>3088.6841235375682</v>
      </c>
      <c r="D58" s="23">
        <f t="shared" si="31"/>
        <v>3260.1978268453836</v>
      </c>
      <c r="E58" s="23">
        <f t="shared" si="31"/>
        <v>3703.561222619086</v>
      </c>
      <c r="F58" s="23">
        <f t="shared" si="31"/>
        <v>4149.9723982278738</v>
      </c>
      <c r="G58" s="23">
        <f t="shared" si="31"/>
        <v>4612.0456700138539</v>
      </c>
      <c r="H58" s="23">
        <f t="shared" si="31"/>
        <v>5083.1741638828289</v>
      </c>
      <c r="I58" s="23">
        <f t="shared" si="31"/>
        <v>5555.7049362174348</v>
      </c>
      <c r="J58" s="23">
        <f t="shared" si="31"/>
        <v>6021.0942673111358</v>
      </c>
      <c r="K58" s="23">
        <f t="shared" si="31"/>
        <v>6470.1226130745627</v>
      </c>
      <c r="L58" s="23">
        <f t="shared" si="31"/>
        <v>6893.16455100231</v>
      </c>
      <c r="M58" s="23">
        <f t="shared" si="31"/>
        <v>7280.5049556744862</v>
      </c>
      <c r="N58" s="23">
        <f t="shared" si="31"/>
        <v>7622.6886885911872</v>
      </c>
    </row>
    <row r="61" spans="2:16" ht="13.95" customHeight="1" x14ac:dyDescent="0.3">
      <c r="B61" s="52" t="s">
        <v>106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</row>
    <row r="62" spans="2:16" ht="13.95" customHeight="1" x14ac:dyDescent="0.3">
      <c r="B62" s="6" t="s">
        <v>7</v>
      </c>
      <c r="C62" s="7" t="s">
        <v>8</v>
      </c>
      <c r="D62" s="7" t="s">
        <v>9</v>
      </c>
      <c r="E62" s="7" t="s">
        <v>10</v>
      </c>
      <c r="F62" s="7" t="s">
        <v>11</v>
      </c>
      <c r="G62" s="7" t="s">
        <v>12</v>
      </c>
      <c r="H62" s="7" t="s">
        <v>13</v>
      </c>
      <c r="I62" s="7" t="s">
        <v>14</v>
      </c>
      <c r="J62" s="7" t="s">
        <v>15</v>
      </c>
      <c r="K62" s="7" t="s">
        <v>16</v>
      </c>
      <c r="L62" s="7" t="s">
        <v>17</v>
      </c>
      <c r="M62" s="7" t="s">
        <v>18</v>
      </c>
      <c r="N62" s="7" t="s">
        <v>19</v>
      </c>
      <c r="P62" s="7" t="s">
        <v>20</v>
      </c>
    </row>
    <row r="63" spans="2:16" ht="13.95" customHeight="1" x14ac:dyDescent="0.3">
      <c r="B63" s="13" t="s">
        <v>21</v>
      </c>
      <c r="C63" s="32">
        <v>20474.182000000001</v>
      </c>
      <c r="D63" s="32">
        <v>23359.364000000001</v>
      </c>
      <c r="E63" s="32">
        <v>26673.599999999999</v>
      </c>
      <c r="F63" s="33">
        <f t="shared" ref="F63:N63" si="32">E63*(1+F64)</f>
        <v>30176.86092659385</v>
      </c>
      <c r="G63" s="33">
        <f t="shared" si="32"/>
        <v>33822.101087874558</v>
      </c>
      <c r="H63" s="33">
        <f t="shared" si="32"/>
        <v>37551.109581118057</v>
      </c>
      <c r="I63" s="33">
        <f t="shared" si="32"/>
        <v>41295.380867702006</v>
      </c>
      <c r="J63" s="33">
        <f t="shared" si="32"/>
        <v>44977.651509552568</v>
      </c>
      <c r="K63" s="33">
        <f t="shared" si="32"/>
        <v>48514.100378269359</v>
      </c>
      <c r="L63" s="33">
        <f t="shared" si="32"/>
        <v>51817.160305040263</v>
      </c>
      <c r="M63" s="33">
        <f t="shared" si="32"/>
        <v>54798.837183881689</v>
      </c>
      <c r="N63" s="33">
        <f t="shared" si="32"/>
        <v>57374.382531524127</v>
      </c>
      <c r="P63" s="2" t="s">
        <v>91</v>
      </c>
    </row>
    <row r="64" spans="2:16" ht="13.95" customHeight="1" x14ac:dyDescent="0.3">
      <c r="B64" s="8" t="s">
        <v>56</v>
      </c>
      <c r="D64" s="11">
        <f>D63/C63-1</f>
        <v>0.14091805963237025</v>
      </c>
      <c r="E64" s="11">
        <f>E63/D63-1</f>
        <v>0.14188040393565493</v>
      </c>
      <c r="F64" s="11">
        <f>$E$64+(g_-$E$64)*1/9</f>
        <v>0.13133813683169326</v>
      </c>
      <c r="G64" s="11">
        <f>$E$64+(g_-$E$64)*2/9</f>
        <v>0.12079586972773161</v>
      </c>
      <c r="H64" s="11">
        <f>$E$64+(g_-$E$64)*3/9</f>
        <v>0.11025360262376996</v>
      </c>
      <c r="I64" s="11">
        <f>$E$64+(g_-$E$64)*4/9</f>
        <v>9.9711335519808292E-2</v>
      </c>
      <c r="J64" s="11">
        <f>$E$64+(g_-$E$64)*5/9</f>
        <v>8.9169068415846625E-2</v>
      </c>
      <c r="K64" s="11">
        <f>$E$64+(g_-$E$64)*6/9</f>
        <v>7.8626801311884986E-2</v>
      </c>
      <c r="L64" s="11">
        <f>$E$64+(g_-$E$64)*7/9</f>
        <v>6.808453420792332E-2</v>
      </c>
      <c r="M64" s="11">
        <f>$E$64+(g_-$E$64)*8/9</f>
        <v>5.7542267103961653E-2</v>
      </c>
      <c r="N64" s="11">
        <f>$E$64+(g_-$E$64)*9/9</f>
        <v>4.7E-2</v>
      </c>
      <c r="P64" s="2" t="s">
        <v>92</v>
      </c>
    </row>
    <row r="65" spans="2:16" ht="13.95" customHeight="1" x14ac:dyDescent="0.3">
      <c r="B65" s="8" t="s">
        <v>93</v>
      </c>
      <c r="C65" s="34">
        <v>0.26550000000000001</v>
      </c>
      <c r="D65" s="34">
        <v>0.25530000000000003</v>
      </c>
      <c r="E65" s="34">
        <v>0.24859999999999999</v>
      </c>
      <c r="F65" s="35">
        <f t="shared" ref="F65:N65" si="33">$E$65</f>
        <v>0.24859999999999999</v>
      </c>
      <c r="G65" s="35">
        <f t="shared" si="33"/>
        <v>0.24859999999999999</v>
      </c>
      <c r="H65" s="35">
        <f t="shared" si="33"/>
        <v>0.24859999999999999</v>
      </c>
      <c r="I65" s="35">
        <f t="shared" si="33"/>
        <v>0.24859999999999999</v>
      </c>
      <c r="J65" s="35">
        <f t="shared" si="33"/>
        <v>0.24859999999999999</v>
      </c>
      <c r="K65" s="35">
        <f t="shared" si="33"/>
        <v>0.24859999999999999</v>
      </c>
      <c r="L65" s="35">
        <f t="shared" si="33"/>
        <v>0.24859999999999999</v>
      </c>
      <c r="M65" s="35">
        <f t="shared" si="33"/>
        <v>0.24859999999999999</v>
      </c>
      <c r="N65" s="35">
        <f t="shared" si="33"/>
        <v>0.24859999999999999</v>
      </c>
      <c r="P65" s="2" t="s">
        <v>94</v>
      </c>
    </row>
    <row r="66" spans="2:16" ht="13.95" customHeight="1" x14ac:dyDescent="0.3">
      <c r="B66" s="8" t="s">
        <v>95</v>
      </c>
      <c r="C66" s="36">
        <f t="shared" ref="C66:N66" si="34">C63/C65</f>
        <v>77115.563088512237</v>
      </c>
      <c r="D66" s="36">
        <f t="shared" si="34"/>
        <v>91497.704661182914</v>
      </c>
      <c r="E66" s="36">
        <f t="shared" si="34"/>
        <v>107295.25341914722</v>
      </c>
      <c r="F66" s="36">
        <f t="shared" si="34"/>
        <v>121387.21209410237</v>
      </c>
      <c r="G66" s="36">
        <f t="shared" si="34"/>
        <v>136050.28595283412</v>
      </c>
      <c r="H66" s="36">
        <f t="shared" si="34"/>
        <v>151050.32011712814</v>
      </c>
      <c r="I66" s="36">
        <f t="shared" si="34"/>
        <v>166111.74926670155</v>
      </c>
      <c r="J66" s="36">
        <f t="shared" si="34"/>
        <v>180923.77920174002</v>
      </c>
      <c r="K66" s="36">
        <f t="shared" si="34"/>
        <v>195149.23724163059</v>
      </c>
      <c r="L66" s="36">
        <f t="shared" si="34"/>
        <v>208435.88216025851</v>
      </c>
      <c r="M66" s="36">
        <f t="shared" si="34"/>
        <v>220429.75536557398</v>
      </c>
      <c r="N66" s="36">
        <f t="shared" si="34"/>
        <v>230789.95386775595</v>
      </c>
    </row>
    <row r="67" spans="2:16" ht="13.95" customHeight="1" x14ac:dyDescent="0.3">
      <c r="B67" s="13" t="s">
        <v>96</v>
      </c>
      <c r="D67" s="33">
        <f t="shared" ref="D67:N67" si="35">D63-(D66-C66)</f>
        <v>8977.222427329325</v>
      </c>
      <c r="E67" s="33">
        <f t="shared" si="35"/>
        <v>10876.05124203569</v>
      </c>
      <c r="F67" s="33">
        <f t="shared" si="35"/>
        <v>16084.902251638698</v>
      </c>
      <c r="G67" s="33">
        <f t="shared" si="35"/>
        <v>19159.027229142812</v>
      </c>
      <c r="H67" s="33">
        <f t="shared" si="35"/>
        <v>22551.075416824038</v>
      </c>
      <c r="I67" s="33">
        <f t="shared" si="35"/>
        <v>26233.951718128599</v>
      </c>
      <c r="J67" s="33">
        <f t="shared" si="35"/>
        <v>30165.621574514094</v>
      </c>
      <c r="K67" s="33">
        <f t="shared" si="35"/>
        <v>34288.642338378791</v>
      </c>
      <c r="L67" s="33">
        <f t="shared" si="35"/>
        <v>38530.515386412342</v>
      </c>
      <c r="M67" s="33">
        <f t="shared" si="35"/>
        <v>42804.963978566222</v>
      </c>
      <c r="N67" s="33">
        <f t="shared" si="35"/>
        <v>47014.184029342156</v>
      </c>
      <c r="P67" s="2" t="s">
        <v>97</v>
      </c>
    </row>
    <row r="68" spans="2:16" ht="13.95" customHeight="1" x14ac:dyDescent="0.3">
      <c r="B68" s="8" t="s">
        <v>58</v>
      </c>
      <c r="D68" s="11">
        <f t="shared" ref="D68:N68" si="36">D67/D63</f>
        <v>0.38430936849690445</v>
      </c>
      <c r="E68" s="11">
        <f t="shared" si="36"/>
        <v>0.4077459076403519</v>
      </c>
      <c r="F68" s="11">
        <f t="shared" si="36"/>
        <v>0.53302105513113907</v>
      </c>
      <c r="G68" s="11">
        <f t="shared" si="36"/>
        <v>0.56646472610808463</v>
      </c>
      <c r="H68" s="11">
        <f t="shared" si="36"/>
        <v>0.60054351704599074</v>
      </c>
      <c r="I68" s="11">
        <f t="shared" si="36"/>
        <v>0.63527569347705737</v>
      </c>
      <c r="J68" s="11">
        <f t="shared" si="36"/>
        <v>0.67068022811523131</v>
      </c>
      <c r="K68" s="11">
        <f t="shared" si="36"/>
        <v>0.70677683541541059</v>
      </c>
      <c r="L68" s="11">
        <f t="shared" si="36"/>
        <v>0.74358600817931109</v>
      </c>
      <c r="M68" s="11">
        <f t="shared" si="36"/>
        <v>0.78112905635079244</v>
      </c>
      <c r="N68" s="11">
        <f t="shared" si="36"/>
        <v>0.81942814815497833</v>
      </c>
      <c r="P68" s="2" t="s">
        <v>98</v>
      </c>
    </row>
    <row r="69" spans="2:16" ht="13.95" customHeight="1" x14ac:dyDescent="0.3">
      <c r="B69" s="37" t="s">
        <v>27</v>
      </c>
      <c r="C69" s="38">
        <v>6925.2188861408813</v>
      </c>
      <c r="D69" s="39">
        <v>305584.14447699999</v>
      </c>
      <c r="E69" s="40">
        <f>C69/D69</f>
        <v>2.2662232354997439E-2</v>
      </c>
      <c r="P69" s="2" t="s">
        <v>99</v>
      </c>
    </row>
    <row r="70" spans="2:16" ht="13.95" customHeight="1" x14ac:dyDescent="0.3">
      <c r="B70" s="8" t="s">
        <v>29</v>
      </c>
      <c r="C70" s="23">
        <f t="shared" ref="C70:N70" si="37">C63*$E$69</f>
        <v>463.99066976250617</v>
      </c>
      <c r="D70" s="23">
        <f t="shared" si="37"/>
        <v>529.37533463296245</v>
      </c>
      <c r="E70" s="23">
        <f t="shared" si="37"/>
        <v>604.48332094425962</v>
      </c>
      <c r="F70" s="23">
        <f t="shared" si="37"/>
        <v>683.87503406291319</v>
      </c>
      <c r="G70" s="23">
        <f t="shared" si="37"/>
        <v>766.48431358762491</v>
      </c>
      <c r="H70" s="23">
        <f t="shared" si="37"/>
        <v>850.99197051526789</v>
      </c>
      <c r="I70" s="23">
        <f t="shared" si="37"/>
        <v>935.84551641197856</v>
      </c>
      <c r="J70" s="23">
        <f t="shared" si="37"/>
        <v>1019.2939892915816</v>
      </c>
      <c r="K70" s="23">
        <f t="shared" si="37"/>
        <v>1099.4378152660092</v>
      </c>
      <c r="L70" s="23">
        <f t="shared" si="37"/>
        <v>1174.2925268089723</v>
      </c>
      <c r="M70" s="23">
        <f t="shared" si="37"/>
        <v>1241.8639810448003</v>
      </c>
      <c r="N70" s="23">
        <f t="shared" si="37"/>
        <v>1300.2315881539059</v>
      </c>
    </row>
    <row r="71" spans="2:16" ht="13.95" customHeight="1" x14ac:dyDescent="0.3">
      <c r="B71" s="8" t="s">
        <v>30</v>
      </c>
      <c r="D71" s="23">
        <f t="shared" ref="D71:N71" si="38">D67*$E$69</f>
        <v>203.44390055063127</v>
      </c>
      <c r="E71" s="23">
        <f t="shared" si="38"/>
        <v>246.47560035187129</v>
      </c>
      <c r="F71" s="23">
        <f t="shared" si="38"/>
        <v>364.51979223405766</v>
      </c>
      <c r="G71" s="23">
        <f t="shared" si="38"/>
        <v>434.18632676255714</v>
      </c>
      <c r="H71" s="23">
        <f t="shared" si="38"/>
        <v>511.0577109511371</v>
      </c>
      <c r="I71" s="23">
        <f t="shared" si="38"/>
        <v>594.51990942601458</v>
      </c>
      <c r="J71" s="23">
        <f t="shared" si="38"/>
        <v>683.62032525456209</v>
      </c>
      <c r="K71" s="23">
        <f t="shared" si="38"/>
        <v>777.05717980974293</v>
      </c>
      <c r="L71" s="23">
        <f t="shared" si="38"/>
        <v>873.1874924446804</v>
      </c>
      <c r="M71" s="23">
        <f t="shared" si="38"/>
        <v>970.05603962956332</v>
      </c>
      <c r="N71" s="23">
        <f t="shared" si="38"/>
        <v>1065.4463624535617</v>
      </c>
    </row>
    <row r="72" spans="2:16" ht="13.95" customHeight="1" x14ac:dyDescent="0.3">
      <c r="B72" s="8" t="s">
        <v>100</v>
      </c>
      <c r="C72" s="23">
        <f t="shared" ref="C72:N72" si="39">C66*$E$69</f>
        <v>1747.6108088983283</v>
      </c>
      <c r="D72" s="23">
        <f t="shared" si="39"/>
        <v>2073.5422429806595</v>
      </c>
      <c r="E72" s="23">
        <f t="shared" si="39"/>
        <v>2431.5499635730475</v>
      </c>
      <c r="F72" s="23">
        <f t="shared" si="39"/>
        <v>2750.905205401903</v>
      </c>
      <c r="G72" s="23">
        <f t="shared" si="39"/>
        <v>3083.2031922269712</v>
      </c>
      <c r="H72" s="23">
        <f t="shared" si="39"/>
        <v>3423.1374517911017</v>
      </c>
      <c r="I72" s="23">
        <f t="shared" si="39"/>
        <v>3764.4630587770657</v>
      </c>
      <c r="J72" s="23">
        <f t="shared" si="39"/>
        <v>4100.1367228140853</v>
      </c>
      <c r="K72" s="23">
        <f t="shared" si="39"/>
        <v>4422.5173582703519</v>
      </c>
      <c r="L72" s="23">
        <f t="shared" si="39"/>
        <v>4723.6223926346438</v>
      </c>
      <c r="M72" s="23">
        <f t="shared" si="39"/>
        <v>4995.4303340498809</v>
      </c>
      <c r="N72" s="23">
        <f t="shared" si="39"/>
        <v>5230.2155597502251</v>
      </c>
    </row>
    <row r="75" spans="2:16" ht="13.95" customHeight="1" x14ac:dyDescent="0.3">
      <c r="B75" s="52" t="s">
        <v>107</v>
      </c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</row>
    <row r="76" spans="2:16" ht="13.95" customHeight="1" x14ac:dyDescent="0.3">
      <c r="B76" s="6" t="s">
        <v>7</v>
      </c>
      <c r="C76" s="7" t="s">
        <v>8</v>
      </c>
      <c r="D76" s="7" t="s">
        <v>9</v>
      </c>
      <c r="E76" s="7" t="s">
        <v>10</v>
      </c>
      <c r="F76" s="7" t="s">
        <v>11</v>
      </c>
      <c r="G76" s="7" t="s">
        <v>12</v>
      </c>
      <c r="H76" s="7" t="s">
        <v>13</v>
      </c>
      <c r="I76" s="7" t="s">
        <v>14</v>
      </c>
      <c r="J76" s="7" t="s">
        <v>15</v>
      </c>
      <c r="K76" s="7" t="s">
        <v>16</v>
      </c>
      <c r="L76" s="7" t="s">
        <v>17</v>
      </c>
      <c r="M76" s="7" t="s">
        <v>18</v>
      </c>
      <c r="N76" s="7" t="s">
        <v>19</v>
      </c>
      <c r="P76" s="7" t="s">
        <v>20</v>
      </c>
    </row>
    <row r="77" spans="2:16" ht="13.95" customHeight="1" x14ac:dyDescent="0.3">
      <c r="B77" s="13" t="s">
        <v>21</v>
      </c>
      <c r="C77" s="32">
        <v>17093.5</v>
      </c>
      <c r="D77" s="32">
        <v>24478.75</v>
      </c>
      <c r="E77" s="32">
        <v>29169</v>
      </c>
      <c r="F77" s="33">
        <f t="shared" ref="F77:N77" si="40">E77*(1+F78)</f>
        <v>34289.260493336056</v>
      </c>
      <c r="G77" s="33">
        <f t="shared" si="40"/>
        <v>39757.386940063225</v>
      </c>
      <c r="H77" s="33">
        <f t="shared" si="40"/>
        <v>45458.727784163239</v>
      </c>
      <c r="I77" s="33">
        <f t="shared" si="40"/>
        <v>51247.264474170865</v>
      </c>
      <c r="J77" s="33">
        <f t="shared" si="40"/>
        <v>56949.489819205919</v>
      </c>
      <c r="K77" s="33">
        <f t="shared" si="40"/>
        <v>62371.175472711489</v>
      </c>
      <c r="L77" s="33">
        <f t="shared" si="40"/>
        <v>67306.883287035875</v>
      </c>
      <c r="M77" s="33">
        <f t="shared" si="40"/>
        <v>71551.74117933352</v>
      </c>
      <c r="N77" s="33">
        <f t="shared" si="40"/>
        <v>74914.673014762186</v>
      </c>
      <c r="P77" s="2" t="s">
        <v>91</v>
      </c>
    </row>
    <row r="78" spans="2:16" ht="13.95" customHeight="1" x14ac:dyDescent="0.3">
      <c r="B78" s="8" t="s">
        <v>56</v>
      </c>
      <c r="D78" s="11">
        <f>D77/C77-1</f>
        <v>0.43205019451838411</v>
      </c>
      <c r="E78" s="11">
        <f>E77/D77-1</f>
        <v>0.19160496348874023</v>
      </c>
      <c r="F78" s="11">
        <f>$E$78+(g_-$E$78)*1/9</f>
        <v>0.17553774532332464</v>
      </c>
      <c r="G78" s="11">
        <f>$E$78+(g_-$E$78)*2/9</f>
        <v>0.15947052715790908</v>
      </c>
      <c r="H78" s="11">
        <f>$E$78+(g_-$E$78)*3/9</f>
        <v>0.14340330899249348</v>
      </c>
      <c r="I78" s="11">
        <f>$E$78+(g_-$E$78)*4/9</f>
        <v>0.12733609082707792</v>
      </c>
      <c r="J78" s="11">
        <f>$E$78+(g_-$E$78)*5/9</f>
        <v>0.11126887266166231</v>
      </c>
      <c r="K78" s="11">
        <f>$E$78+(g_-$E$78)*6/9</f>
        <v>9.5201654496246735E-2</v>
      </c>
      <c r="L78" s="11">
        <f>$E$78+(g_-$E$78)*7/9</f>
        <v>7.9134436330831157E-2</v>
      </c>
      <c r="M78" s="11">
        <f>$E$78+(g_-$E$78)*8/9</f>
        <v>6.3067218165415578E-2</v>
      </c>
      <c r="N78" s="11">
        <f>$E$78+(g_-$E$78)*9/9</f>
        <v>4.6999999999999986E-2</v>
      </c>
      <c r="P78" s="2" t="s">
        <v>92</v>
      </c>
    </row>
    <row r="79" spans="2:16" ht="13.95" customHeight="1" x14ac:dyDescent="0.3">
      <c r="B79" s="8" t="s">
        <v>93</v>
      </c>
      <c r="C79" s="34">
        <v>8.5909999999999986E-2</v>
      </c>
      <c r="D79" s="34">
        <v>0.11989</v>
      </c>
      <c r="E79" s="34">
        <v>0.13250999999999999</v>
      </c>
      <c r="F79" s="35">
        <f t="shared" ref="F79:N79" si="41">$E$79</f>
        <v>0.13250999999999999</v>
      </c>
      <c r="G79" s="35">
        <f t="shared" si="41"/>
        <v>0.13250999999999999</v>
      </c>
      <c r="H79" s="35">
        <f t="shared" si="41"/>
        <v>0.13250999999999999</v>
      </c>
      <c r="I79" s="35">
        <f t="shared" si="41"/>
        <v>0.13250999999999999</v>
      </c>
      <c r="J79" s="35">
        <f t="shared" si="41"/>
        <v>0.13250999999999999</v>
      </c>
      <c r="K79" s="35">
        <f t="shared" si="41"/>
        <v>0.13250999999999999</v>
      </c>
      <c r="L79" s="35">
        <f t="shared" si="41"/>
        <v>0.13250999999999999</v>
      </c>
      <c r="M79" s="35">
        <f t="shared" si="41"/>
        <v>0.13250999999999999</v>
      </c>
      <c r="N79" s="35">
        <f t="shared" si="41"/>
        <v>0.13250999999999999</v>
      </c>
      <c r="P79" s="2" t="s">
        <v>94</v>
      </c>
    </row>
    <row r="80" spans="2:16" ht="13.95" customHeight="1" x14ac:dyDescent="0.3">
      <c r="B80" s="8" t="s">
        <v>95</v>
      </c>
      <c r="C80" s="36">
        <f t="shared" ref="C80:N80" si="42">C77/C79</f>
        <v>198969.85217087652</v>
      </c>
      <c r="D80" s="36">
        <f t="shared" si="42"/>
        <v>204176.74534990409</v>
      </c>
      <c r="E80" s="36">
        <f t="shared" si="42"/>
        <v>220126.78288431064</v>
      </c>
      <c r="F80" s="36">
        <f t="shared" si="42"/>
        <v>258767.34203709953</v>
      </c>
      <c r="G80" s="36">
        <f t="shared" si="42"/>
        <v>300033.10648300679</v>
      </c>
      <c r="H80" s="36">
        <f t="shared" si="42"/>
        <v>343058.8467599671</v>
      </c>
      <c r="I80" s="36">
        <f t="shared" si="42"/>
        <v>386742.61923002696</v>
      </c>
      <c r="J80" s="36">
        <f t="shared" si="42"/>
        <v>429775.03448197059</v>
      </c>
      <c r="K80" s="36">
        <f t="shared" si="42"/>
        <v>470690.32882583572</v>
      </c>
      <c r="L80" s="36">
        <f t="shared" si="42"/>
        <v>507938.14268384181</v>
      </c>
      <c r="M80" s="36">
        <f t="shared" si="42"/>
        <v>539972.38834301964</v>
      </c>
      <c r="N80" s="36">
        <f t="shared" si="42"/>
        <v>565351.0905951414</v>
      </c>
    </row>
    <row r="81" spans="2:16" ht="13.95" customHeight="1" x14ac:dyDescent="0.3">
      <c r="B81" s="13" t="s">
        <v>96</v>
      </c>
      <c r="D81" s="33">
        <f t="shared" ref="D81:N81" si="43">D77-(D80-C80)</f>
        <v>19271.856820972433</v>
      </c>
      <c r="E81" s="33">
        <f t="shared" si="43"/>
        <v>13218.962465593446</v>
      </c>
      <c r="F81" s="33">
        <f t="shared" si="43"/>
        <v>-4351.2986594528338</v>
      </c>
      <c r="G81" s="33">
        <f t="shared" si="43"/>
        <v>-1508.3775058440369</v>
      </c>
      <c r="H81" s="33">
        <f t="shared" si="43"/>
        <v>2432.9875072029317</v>
      </c>
      <c r="I81" s="33">
        <f t="shared" si="43"/>
        <v>7563.4920041110017</v>
      </c>
      <c r="J81" s="33">
        <f t="shared" si="43"/>
        <v>13917.074567262287</v>
      </c>
      <c r="K81" s="33">
        <f t="shared" si="43"/>
        <v>21455.881128846362</v>
      </c>
      <c r="L81" s="33">
        <f t="shared" si="43"/>
        <v>30059.069429029783</v>
      </c>
      <c r="M81" s="33">
        <f t="shared" si="43"/>
        <v>39517.495520155688</v>
      </c>
      <c r="N81" s="33">
        <f t="shared" si="43"/>
        <v>49535.970762640427</v>
      </c>
      <c r="P81" s="2" t="s">
        <v>97</v>
      </c>
    </row>
    <row r="82" spans="2:16" ht="13.95" customHeight="1" x14ac:dyDescent="0.3">
      <c r="B82" s="8" t="s">
        <v>58</v>
      </c>
      <c r="D82" s="11">
        <f t="shared" ref="D82:N82" si="44">D81/D77</f>
        <v>0.78728925378021475</v>
      </c>
      <c r="E82" s="11">
        <f t="shared" si="44"/>
        <v>0.45318531542368423</v>
      </c>
      <c r="F82" s="11">
        <f t="shared" si="44"/>
        <v>-0.12689975219204527</v>
      </c>
      <c r="G82" s="11">
        <f t="shared" si="44"/>
        <v>-3.7939553424826723E-2</v>
      </c>
      <c r="H82" s="11">
        <f t="shared" si="44"/>
        <v>5.3520800642611208E-2</v>
      </c>
      <c r="I82" s="11">
        <f t="shared" si="44"/>
        <v>0.14758820947258711</v>
      </c>
      <c r="J82" s="11">
        <f t="shared" si="44"/>
        <v>0.24437575492676014</v>
      </c>
      <c r="K82" s="11">
        <f t="shared" si="44"/>
        <v>0.34400315476230997</v>
      </c>
      <c r="L82" s="11">
        <f t="shared" si="44"/>
        <v>0.44659725664075617</v>
      </c>
      <c r="M82" s="11">
        <f t="shared" si="44"/>
        <v>0.55229257693549505</v>
      </c>
      <c r="N82" s="11">
        <f t="shared" si="44"/>
        <v>0.66123188915046316</v>
      </c>
      <c r="P82" s="2" t="s">
        <v>98</v>
      </c>
    </row>
    <row r="83" spans="2:16" ht="13.95" customHeight="1" x14ac:dyDescent="0.3">
      <c r="B83" s="37" t="s">
        <v>27</v>
      </c>
      <c r="C83" s="38">
        <v>5397.3180436384264</v>
      </c>
      <c r="D83" s="39">
        <v>138571.5670872</v>
      </c>
      <c r="E83" s="40">
        <f>C83/D83</f>
        <v>3.8949678906654885E-2</v>
      </c>
      <c r="P83" s="2" t="s">
        <v>99</v>
      </c>
    </row>
    <row r="84" spans="2:16" ht="13.95" customHeight="1" x14ac:dyDescent="0.3">
      <c r="B84" s="8" t="s">
        <v>29</v>
      </c>
      <c r="C84" s="23">
        <f t="shared" ref="C84:N84" si="45">C77*$E$83</f>
        <v>665.78633639090526</v>
      </c>
      <c r="D84" s="23">
        <f t="shared" si="45"/>
        <v>953.43945253627828</v>
      </c>
      <c r="E84" s="23">
        <f t="shared" si="45"/>
        <v>1136.1231840282164</v>
      </c>
      <c r="F84" s="23">
        <f t="shared" si="45"/>
        <v>1335.555686162086</v>
      </c>
      <c r="G84" s="23">
        <f t="shared" si="45"/>
        <v>1548.5374554830969</v>
      </c>
      <c r="H84" s="23">
        <f t="shared" si="45"/>
        <v>1770.6028506981893</v>
      </c>
      <c r="I84" s="23">
        <f t="shared" si="45"/>
        <v>1996.0644961133771</v>
      </c>
      <c r="J84" s="23">
        <f t="shared" si="45"/>
        <v>2218.1643423558817</v>
      </c>
      <c r="K84" s="23">
        <f t="shared" si="45"/>
        <v>2429.3372576927413</v>
      </c>
      <c r="L84" s="23">
        <f t="shared" si="45"/>
        <v>2621.5814922377435</v>
      </c>
      <c r="M84" s="23">
        <f t="shared" si="45"/>
        <v>2786.9173441471166</v>
      </c>
      <c r="N84" s="23">
        <f t="shared" si="45"/>
        <v>2917.9024593220306</v>
      </c>
    </row>
    <row r="85" spans="2:16" ht="13.95" customHeight="1" x14ac:dyDescent="0.3">
      <c r="B85" s="8" t="s">
        <v>30</v>
      </c>
      <c r="D85" s="23">
        <f t="shared" ref="D85:N85" si="46">D81*$E$83</f>
        <v>750.63263511190303</v>
      </c>
      <c r="E85" s="23">
        <f t="shared" si="46"/>
        <v>514.8743435139877</v>
      </c>
      <c r="F85" s="23">
        <f t="shared" si="46"/>
        <v>-169.48168561264572</v>
      </c>
      <c r="G85" s="23">
        <f t="shared" si="46"/>
        <v>-58.750819522646189</v>
      </c>
      <c r="H85" s="23">
        <f t="shared" si="46"/>
        <v>94.764082189456886</v>
      </c>
      <c r="I85" s="23">
        <f t="shared" si="46"/>
        <v>294.59558497317516</v>
      </c>
      <c r="J85" s="23">
        <f t="shared" si="46"/>
        <v>542.06558571483902</v>
      </c>
      <c r="K85" s="23">
        <f t="shared" si="46"/>
        <v>835.69968062792179</v>
      </c>
      <c r="L85" s="23">
        <f t="shared" si="46"/>
        <v>1170.7911024935561</v>
      </c>
      <c r="M85" s="23">
        <f t="shared" si="46"/>
        <v>1539.193761705237</v>
      </c>
      <c r="N85" s="23">
        <f t="shared" si="46"/>
        <v>1929.4101555342888</v>
      </c>
    </row>
    <row r="86" spans="2:16" ht="13.95" customHeight="1" x14ac:dyDescent="0.3">
      <c r="B86" s="8" t="s">
        <v>100</v>
      </c>
      <c r="C86" s="23">
        <f t="shared" ref="C86:N86" si="47">C80*$E$83</f>
        <v>7749.8118541602298</v>
      </c>
      <c r="D86" s="23">
        <f t="shared" si="47"/>
        <v>7952.6186715846052</v>
      </c>
      <c r="E86" s="23">
        <f t="shared" si="47"/>
        <v>8573.8675120988337</v>
      </c>
      <c r="F86" s="23">
        <f t="shared" si="47"/>
        <v>10078.904883873565</v>
      </c>
      <c r="G86" s="23">
        <f t="shared" si="47"/>
        <v>11686.193158879309</v>
      </c>
      <c r="H86" s="23">
        <f t="shared" si="47"/>
        <v>13362.031927388041</v>
      </c>
      <c r="I86" s="23">
        <f t="shared" si="47"/>
        <v>15063.500838528244</v>
      </c>
      <c r="J86" s="23">
        <f t="shared" si="47"/>
        <v>16739.599595169286</v>
      </c>
      <c r="K86" s="23">
        <f t="shared" si="47"/>
        <v>18333.237172234105</v>
      </c>
      <c r="L86" s="23">
        <f t="shared" si="47"/>
        <v>19784.027561978291</v>
      </c>
      <c r="M86" s="23">
        <f t="shared" si="47"/>
        <v>21031.751144420174</v>
      </c>
      <c r="N86" s="23">
        <f t="shared" si="47"/>
        <v>22020.243448207915</v>
      </c>
    </row>
    <row r="89" spans="2:16" ht="13.95" customHeight="1" x14ac:dyDescent="0.3">
      <c r="B89" s="52" t="s">
        <v>108</v>
      </c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</row>
    <row r="90" spans="2:16" ht="13.95" customHeight="1" x14ac:dyDescent="0.3">
      <c r="B90" s="6" t="s">
        <v>7</v>
      </c>
      <c r="C90" s="7" t="s">
        <v>8</v>
      </c>
      <c r="D90" s="7" t="s">
        <v>9</v>
      </c>
      <c r="E90" s="7" t="s">
        <v>10</v>
      </c>
      <c r="F90" s="7" t="s">
        <v>11</v>
      </c>
      <c r="G90" s="7" t="s">
        <v>12</v>
      </c>
      <c r="H90" s="7" t="s">
        <v>13</v>
      </c>
      <c r="I90" s="7" t="s">
        <v>14</v>
      </c>
      <c r="J90" s="7" t="s">
        <v>15</v>
      </c>
      <c r="K90" s="7" t="s">
        <v>16</v>
      </c>
      <c r="L90" s="7" t="s">
        <v>17</v>
      </c>
      <c r="M90" s="7" t="s">
        <v>18</v>
      </c>
      <c r="N90" s="7" t="s">
        <v>19</v>
      </c>
      <c r="P90" s="7" t="s">
        <v>20</v>
      </c>
    </row>
    <row r="91" spans="2:16" ht="13.95" customHeight="1" x14ac:dyDescent="0.3">
      <c r="B91" s="13" t="s">
        <v>21</v>
      </c>
      <c r="C91" s="32">
        <v>8662.5</v>
      </c>
      <c r="D91" s="32">
        <v>8582.6</v>
      </c>
      <c r="E91" s="32">
        <v>8977.125</v>
      </c>
      <c r="F91" s="33">
        <f t="shared" ref="F91:N91" si="48">E91*(1+F92)</f>
        <v>9390.8148991651706</v>
      </c>
      <c r="G91" s="33">
        <f t="shared" si="48"/>
        <v>9824.6455420976163</v>
      </c>
      <c r="H91" s="33">
        <f t="shared" si="48"/>
        <v>10279.644559411081</v>
      </c>
      <c r="I91" s="33">
        <f t="shared" si="48"/>
        <v>10756.894219568212</v>
      </c>
      <c r="J91" s="33">
        <f t="shared" si="48"/>
        <v>11257.534443136621</v>
      </c>
      <c r="K91" s="33">
        <f t="shared" si="48"/>
        <v>11782.765989003643</v>
      </c>
      <c r="L91" s="33">
        <f t="shared" si="48"/>
        <v>12333.853822666191</v>
      </c>
      <c r="M91" s="33">
        <f t="shared" si="48"/>
        <v>12912.130677324469</v>
      </c>
      <c r="N91" s="33">
        <f t="shared" si="48"/>
        <v>13519.000819158719</v>
      </c>
      <c r="P91" s="2" t="s">
        <v>91</v>
      </c>
    </row>
    <row r="92" spans="2:16" ht="13.95" customHeight="1" x14ac:dyDescent="0.3">
      <c r="B92" s="8" t="s">
        <v>56</v>
      </c>
      <c r="D92" s="11">
        <f>D91/C91-1</f>
        <v>-9.223665223665134E-3</v>
      </c>
      <c r="E92" s="11">
        <f>E91/D91-1</f>
        <v>4.5968005033439674E-2</v>
      </c>
      <c r="F92" s="11">
        <f>$E$92+(g_-$E$92)*1/9</f>
        <v>4.6082671140835266E-2</v>
      </c>
      <c r="G92" s="11">
        <f>$E$92+(g_-$E$92)*2/9</f>
        <v>4.6197337248230858E-2</v>
      </c>
      <c r="H92" s="11">
        <f>$E$92+(g_-$E$92)*3/9</f>
        <v>4.6312003355626449E-2</v>
      </c>
      <c r="I92" s="11">
        <f>$E$92+(g_-$E$92)*4/9</f>
        <v>4.6426669463022041E-2</v>
      </c>
      <c r="J92" s="11">
        <f>$E$92+(g_-$E$92)*5/9</f>
        <v>4.6541335570417633E-2</v>
      </c>
      <c r="K92" s="11">
        <f>$E$92+(g_-$E$92)*6/9</f>
        <v>4.6656001677813225E-2</v>
      </c>
      <c r="L92" s="11">
        <f>$E$92+(g_-$E$92)*7/9</f>
        <v>4.6770667785208817E-2</v>
      </c>
      <c r="M92" s="11">
        <f>$E$92+(g_-$E$92)*8/9</f>
        <v>4.6885333892604408E-2</v>
      </c>
      <c r="N92" s="11">
        <f>$E$92+(g_-$E$92)*9/9</f>
        <v>4.7E-2</v>
      </c>
      <c r="P92" s="2" t="s">
        <v>92</v>
      </c>
    </row>
    <row r="93" spans="2:16" ht="13.95" customHeight="1" x14ac:dyDescent="0.3">
      <c r="B93" s="8" t="s">
        <v>93</v>
      </c>
      <c r="C93" s="34">
        <v>0.91299000000000008</v>
      </c>
      <c r="D93" s="34">
        <v>0.85076000000000007</v>
      </c>
      <c r="E93" s="34">
        <v>0.81662999999999997</v>
      </c>
      <c r="F93" s="35">
        <f t="shared" ref="F93:N93" si="49">$E$93</f>
        <v>0.81662999999999997</v>
      </c>
      <c r="G93" s="35">
        <f t="shared" si="49"/>
        <v>0.81662999999999997</v>
      </c>
      <c r="H93" s="35">
        <f t="shared" si="49"/>
        <v>0.81662999999999997</v>
      </c>
      <c r="I93" s="35">
        <f t="shared" si="49"/>
        <v>0.81662999999999997</v>
      </c>
      <c r="J93" s="35">
        <f t="shared" si="49"/>
        <v>0.81662999999999997</v>
      </c>
      <c r="K93" s="35">
        <f t="shared" si="49"/>
        <v>0.81662999999999997</v>
      </c>
      <c r="L93" s="35">
        <f t="shared" si="49"/>
        <v>0.81662999999999997</v>
      </c>
      <c r="M93" s="35">
        <f t="shared" si="49"/>
        <v>0.81662999999999997</v>
      </c>
      <c r="N93" s="35">
        <f t="shared" si="49"/>
        <v>0.81662999999999997</v>
      </c>
      <c r="P93" s="2" t="s">
        <v>94</v>
      </c>
    </row>
    <row r="94" spans="2:16" ht="13.95" customHeight="1" x14ac:dyDescent="0.3">
      <c r="B94" s="8" t="s">
        <v>95</v>
      </c>
      <c r="C94" s="36">
        <f t="shared" ref="C94:N94" si="50">C91/C93</f>
        <v>9488.0557289784101</v>
      </c>
      <c r="D94" s="36">
        <f t="shared" si="50"/>
        <v>10088.156471860453</v>
      </c>
      <c r="E94" s="36">
        <f t="shared" si="50"/>
        <v>10992.89151757834</v>
      </c>
      <c r="F94" s="36">
        <f t="shared" si="50"/>
        <v>11499.473322269781</v>
      </c>
      <c r="G94" s="36">
        <f t="shared" si="50"/>
        <v>12030.718369515713</v>
      </c>
      <c r="H94" s="36">
        <f t="shared" si="50"/>
        <v>12587.88503901532</v>
      </c>
      <c r="I94" s="36">
        <f t="shared" si="50"/>
        <v>13172.298616960205</v>
      </c>
      <c r="J94" s="36">
        <f t="shared" si="50"/>
        <v>13785.354987125897</v>
      </c>
      <c r="K94" s="36">
        <f t="shared" si="50"/>
        <v>14428.524532534493</v>
      </c>
      <c r="L94" s="36">
        <f t="shared" si="50"/>
        <v>15103.356260076402</v>
      </c>
      <c r="M94" s="36">
        <f t="shared" si="50"/>
        <v>15811.482161229038</v>
      </c>
      <c r="N94" s="36">
        <f t="shared" si="50"/>
        <v>16554.621822806803</v>
      </c>
    </row>
    <row r="95" spans="2:16" ht="13.95" customHeight="1" x14ac:dyDescent="0.3">
      <c r="B95" s="13" t="s">
        <v>96</v>
      </c>
      <c r="D95" s="33">
        <f t="shared" ref="D95:N95" si="51">D91-(D94-C94)</f>
        <v>7982.4992571179573</v>
      </c>
      <c r="E95" s="33">
        <f t="shared" si="51"/>
        <v>8072.3899542821127</v>
      </c>
      <c r="F95" s="33">
        <f t="shared" si="51"/>
        <v>8884.2330944737296</v>
      </c>
      <c r="G95" s="33">
        <f t="shared" si="51"/>
        <v>9293.4004948516849</v>
      </c>
      <c r="H95" s="33">
        <f t="shared" si="51"/>
        <v>9722.4778899114735</v>
      </c>
      <c r="I95" s="33">
        <f t="shared" si="51"/>
        <v>10172.480641623328</v>
      </c>
      <c r="J95" s="33">
        <f t="shared" si="51"/>
        <v>10644.478072970929</v>
      </c>
      <c r="K95" s="33">
        <f t="shared" si="51"/>
        <v>11139.596443595046</v>
      </c>
      <c r="L95" s="33">
        <f t="shared" si="51"/>
        <v>11659.022095124283</v>
      </c>
      <c r="M95" s="33">
        <f t="shared" si="51"/>
        <v>12204.004776171832</v>
      </c>
      <c r="N95" s="33">
        <f t="shared" si="51"/>
        <v>12775.861157580954</v>
      </c>
      <c r="P95" s="2" t="s">
        <v>97</v>
      </c>
    </row>
    <row r="96" spans="2:16" ht="13.95" customHeight="1" x14ac:dyDescent="0.3">
      <c r="B96" s="8" t="s">
        <v>58</v>
      </c>
      <c r="D96" s="11">
        <f t="shared" ref="D96:N96" si="52">D95/D91</f>
        <v>0.93007937654300066</v>
      </c>
      <c r="E96" s="11">
        <f t="shared" si="52"/>
        <v>0.89921772887000151</v>
      </c>
      <c r="F96" s="11">
        <f t="shared" si="52"/>
        <v>0.9460556075132015</v>
      </c>
      <c r="G96" s="11">
        <f t="shared" si="52"/>
        <v>0.94592730648962353</v>
      </c>
      <c r="H96" s="11">
        <f t="shared" si="52"/>
        <v>0.94579903358725392</v>
      </c>
      <c r="I96" s="11">
        <f t="shared" si="52"/>
        <v>0.94567078879684818</v>
      </c>
      <c r="J96" s="11">
        <f t="shared" si="52"/>
        <v>0.94554257210916604</v>
      </c>
      <c r="K96" s="11">
        <f t="shared" si="52"/>
        <v>0.94541438351497098</v>
      </c>
      <c r="L96" s="11">
        <f t="shared" si="52"/>
        <v>0.94528622300503062</v>
      </c>
      <c r="M96" s="11">
        <f t="shared" si="52"/>
        <v>0.94515809057011746</v>
      </c>
      <c r="N96" s="11">
        <f t="shared" si="52"/>
        <v>0.94502998620100609</v>
      </c>
      <c r="P96" s="2" t="s">
        <v>98</v>
      </c>
    </row>
    <row r="97" spans="2:16" ht="13.95" customHeight="1" x14ac:dyDescent="0.3">
      <c r="B97" s="37" t="s">
        <v>27</v>
      </c>
      <c r="C97" s="38">
        <v>1823.555711161205</v>
      </c>
      <c r="D97" s="39">
        <v>78199.592000000004</v>
      </c>
      <c r="E97" s="40">
        <f>C97/D97</f>
        <v>2.3319248406835739E-2</v>
      </c>
      <c r="P97" s="2" t="s">
        <v>99</v>
      </c>
    </row>
    <row r="98" spans="2:16" ht="13.95" customHeight="1" x14ac:dyDescent="0.3">
      <c r="B98" s="8" t="s">
        <v>29</v>
      </c>
      <c r="C98" s="23">
        <f t="shared" ref="C98:N98" si="53">C91*$E$97</f>
        <v>202.00298932421458</v>
      </c>
      <c r="D98" s="23">
        <f t="shared" si="53"/>
        <v>200.13978137650844</v>
      </c>
      <c r="E98" s="23">
        <f t="shared" si="53"/>
        <v>209.33980785421528</v>
      </c>
      <c r="F98" s="23">
        <f t="shared" si="53"/>
        <v>218.98674537624672</v>
      </c>
      <c r="G98" s="23">
        <f t="shared" si="53"/>
        <v>229.10334990528568</v>
      </c>
      <c r="H98" s="23">
        <f t="shared" si="53"/>
        <v>239.71358501488453</v>
      </c>
      <c r="I98" s="23">
        <f t="shared" si="53"/>
        <v>250.84268839216659</v>
      </c>
      <c r="J98" s="23">
        <f t="shared" si="53"/>
        <v>262.51724212801213</v>
      </c>
      <c r="K98" s="23">
        <f t="shared" si="53"/>
        <v>274.76524701719154</v>
      </c>
      <c r="L98" s="23">
        <f t="shared" si="53"/>
        <v>287.61620110435348</v>
      </c>
      <c r="M98" s="23">
        <f t="shared" si="53"/>
        <v>301.10118272605348</v>
      </c>
      <c r="N98" s="23">
        <f t="shared" si="53"/>
        <v>315.25293831417798</v>
      </c>
    </row>
    <row r="99" spans="2:16" ht="13.95" customHeight="1" x14ac:dyDescent="0.3">
      <c r="B99" s="8" t="s">
        <v>30</v>
      </c>
      <c r="D99" s="23">
        <f t="shared" ref="D99:N99" si="54">D95*$E$97</f>
        <v>186.14588308411541</v>
      </c>
      <c r="E99" s="23">
        <f t="shared" si="54"/>
        <v>188.24206658074999</v>
      </c>
      <c r="F99" s="23">
        <f t="shared" si="54"/>
        <v>207.17363843426386</v>
      </c>
      <c r="G99" s="23">
        <f t="shared" si="54"/>
        <v>216.71511468365662</v>
      </c>
      <c r="H99" s="23">
        <f t="shared" si="54"/>
        <v>226.72087704481382</v>
      </c>
      <c r="I99" s="23">
        <f t="shared" si="54"/>
        <v>237.21460299574218</v>
      </c>
      <c r="J99" s="23">
        <f t="shared" si="54"/>
        <v>248.22122834472529</v>
      </c>
      <c r="K99" s="23">
        <f t="shared" si="54"/>
        <v>259.76701662009685</v>
      </c>
      <c r="L99" s="23">
        <f t="shared" si="54"/>
        <v>271.87963241698964</v>
      </c>
      <c r="M99" s="23">
        <f t="shared" si="54"/>
        <v>284.58821893376074</v>
      </c>
      <c r="N99" s="23">
        <f t="shared" si="54"/>
        <v>297.92347994487426</v>
      </c>
    </row>
    <row r="100" spans="2:16" ht="13.95" customHeight="1" x14ac:dyDescent="0.3">
      <c r="B100" s="8" t="s">
        <v>100</v>
      </c>
      <c r="C100" s="23">
        <f t="shared" ref="C100:N100" si="55">C94*$E$97</f>
        <v>221.2543284419485</v>
      </c>
      <c r="D100" s="23">
        <f t="shared" si="55"/>
        <v>235.24822673434153</v>
      </c>
      <c r="E100" s="23">
        <f t="shared" si="55"/>
        <v>256.34596800780685</v>
      </c>
      <c r="F100" s="23">
        <f t="shared" si="55"/>
        <v>268.15907494978967</v>
      </c>
      <c r="G100" s="23">
        <f t="shared" si="55"/>
        <v>280.54731017141876</v>
      </c>
      <c r="H100" s="23">
        <f t="shared" si="55"/>
        <v>293.54001814148944</v>
      </c>
      <c r="I100" s="23">
        <f t="shared" si="55"/>
        <v>307.16810353791385</v>
      </c>
      <c r="J100" s="23">
        <f t="shared" si="55"/>
        <v>321.46411732120066</v>
      </c>
      <c r="K100" s="23">
        <f t="shared" si="55"/>
        <v>336.46234771829535</v>
      </c>
      <c r="L100" s="23">
        <f t="shared" si="55"/>
        <v>352.19891640565925</v>
      </c>
      <c r="M100" s="23">
        <f t="shared" si="55"/>
        <v>368.71188019795198</v>
      </c>
      <c r="N100" s="23">
        <f t="shared" si="55"/>
        <v>386.04133856725571</v>
      </c>
    </row>
    <row r="103" spans="2:16" ht="13.95" customHeight="1" x14ac:dyDescent="0.3">
      <c r="B103" s="52" t="s">
        <v>109</v>
      </c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</row>
    <row r="104" spans="2:16" ht="13.95" customHeight="1" x14ac:dyDescent="0.3">
      <c r="B104" s="6" t="s">
        <v>7</v>
      </c>
      <c r="C104" s="7" t="s">
        <v>8</v>
      </c>
      <c r="D104" s="7" t="s">
        <v>9</v>
      </c>
      <c r="E104" s="7" t="s">
        <v>10</v>
      </c>
      <c r="F104" s="7" t="s">
        <v>11</v>
      </c>
      <c r="G104" s="7" t="s">
        <v>12</v>
      </c>
      <c r="H104" s="7" t="s">
        <v>13</v>
      </c>
      <c r="I104" s="7" t="s">
        <v>14</v>
      </c>
      <c r="J104" s="7" t="s">
        <v>15</v>
      </c>
      <c r="K104" s="7" t="s">
        <v>16</v>
      </c>
      <c r="L104" s="7" t="s">
        <v>17</v>
      </c>
      <c r="M104" s="7" t="s">
        <v>18</v>
      </c>
      <c r="N104" s="7" t="s">
        <v>19</v>
      </c>
      <c r="P104" s="7" t="s">
        <v>20</v>
      </c>
    </row>
    <row r="105" spans="2:16" ht="13.95" customHeight="1" x14ac:dyDescent="0.3">
      <c r="B105" s="13" t="s">
        <v>21</v>
      </c>
      <c r="C105" s="32">
        <v>4676.4440000000004</v>
      </c>
      <c r="D105" s="32">
        <v>5099.8890000000001</v>
      </c>
      <c r="E105" s="32">
        <v>5562.143</v>
      </c>
      <c r="F105" s="33">
        <f t="shared" ref="F105:N105" si="56">E105*(1+F106)</f>
        <v>6039.3254873045926</v>
      </c>
      <c r="G105" s="33">
        <f t="shared" si="56"/>
        <v>6528.1619691912283</v>
      </c>
      <c r="H105" s="33">
        <f t="shared" si="56"/>
        <v>7024.9116260567789</v>
      </c>
      <c r="I105" s="33">
        <f t="shared" si="56"/>
        <v>7525.3975988378352</v>
      </c>
      <c r="J105" s="33">
        <f t="shared" si="56"/>
        <v>8025.0505932205124</v>
      </c>
      <c r="K105" s="33">
        <f t="shared" si="56"/>
        <v>8518.9657390815682</v>
      </c>
      <c r="L105" s="33">
        <f t="shared" si="56"/>
        <v>9001.9721881108599</v>
      </c>
      <c r="M105" s="33">
        <f t="shared" si="56"/>
        <v>9468.714455844598</v>
      </c>
      <c r="N105" s="33">
        <f t="shared" si="56"/>
        <v>9913.7440352692938</v>
      </c>
      <c r="P105" s="2" t="s">
        <v>91</v>
      </c>
    </row>
    <row r="106" spans="2:16" ht="13.95" customHeight="1" x14ac:dyDescent="0.3">
      <c r="B106" s="8" t="s">
        <v>56</v>
      </c>
      <c r="D106" s="11">
        <f>D105/C105-1</f>
        <v>9.0548502238025241E-2</v>
      </c>
      <c r="E106" s="11">
        <f>E105/D105-1</f>
        <v>9.0640011968887935E-2</v>
      </c>
      <c r="F106" s="11">
        <f>$E$106+(g_-$E$106)*1/9</f>
        <v>8.5791121750122615E-2</v>
      </c>
      <c r="G106" s="11">
        <f>$E$106+(g_-$E$106)*2/9</f>
        <v>8.0942231531357281E-2</v>
      </c>
      <c r="H106" s="11">
        <f>$E$106+(g_-$E$106)*3/9</f>
        <v>7.6093341312591961E-2</v>
      </c>
      <c r="I106" s="11">
        <f>$E$106+(g_-$E$106)*4/9</f>
        <v>7.1244451093826627E-2</v>
      </c>
      <c r="J106" s="11">
        <f>$E$106+(g_-$E$106)*5/9</f>
        <v>6.6395560875061307E-2</v>
      </c>
      <c r="K106" s="11">
        <f>$E$106+(g_-$E$106)*6/9</f>
        <v>6.1546670656295981E-2</v>
      </c>
      <c r="L106" s="11">
        <f>$E$106+(g_-$E$106)*7/9</f>
        <v>5.6697780437530654E-2</v>
      </c>
      <c r="M106" s="11">
        <f>$E$106+(g_-$E$106)*8/9</f>
        <v>5.1848890218765327E-2</v>
      </c>
      <c r="N106" s="11">
        <f>$E$106+(g_-$E$106)*9/9</f>
        <v>4.7E-2</v>
      </c>
      <c r="P106" s="2" t="s">
        <v>92</v>
      </c>
    </row>
    <row r="107" spans="2:16" ht="13.95" customHeight="1" x14ac:dyDescent="0.3">
      <c r="B107" s="8" t="s">
        <v>93</v>
      </c>
      <c r="C107" s="34">
        <v>0.39160000000000011</v>
      </c>
      <c r="D107" s="34">
        <v>0.41010000000000002</v>
      </c>
      <c r="E107" s="34">
        <v>0.42340000000000011</v>
      </c>
      <c r="F107" s="35">
        <f t="shared" ref="F107:N107" si="57">$E$107</f>
        <v>0.42340000000000011</v>
      </c>
      <c r="G107" s="35">
        <f t="shared" si="57"/>
        <v>0.42340000000000011</v>
      </c>
      <c r="H107" s="35">
        <f t="shared" si="57"/>
        <v>0.42340000000000011</v>
      </c>
      <c r="I107" s="35">
        <f t="shared" si="57"/>
        <v>0.42340000000000011</v>
      </c>
      <c r="J107" s="35">
        <f t="shared" si="57"/>
        <v>0.42340000000000011</v>
      </c>
      <c r="K107" s="35">
        <f t="shared" si="57"/>
        <v>0.42340000000000011</v>
      </c>
      <c r="L107" s="35">
        <f t="shared" si="57"/>
        <v>0.42340000000000011</v>
      </c>
      <c r="M107" s="35">
        <f t="shared" si="57"/>
        <v>0.42340000000000011</v>
      </c>
      <c r="N107" s="35">
        <f t="shared" si="57"/>
        <v>0.42340000000000011</v>
      </c>
      <c r="P107" s="2" t="s">
        <v>94</v>
      </c>
    </row>
    <row r="108" spans="2:16" ht="13.95" customHeight="1" x14ac:dyDescent="0.3">
      <c r="B108" s="8" t="s">
        <v>95</v>
      </c>
      <c r="C108" s="36">
        <f t="shared" ref="C108:N108" si="58">C105/C107</f>
        <v>11941.889683350355</v>
      </c>
      <c r="D108" s="36">
        <f t="shared" si="58"/>
        <v>12435.72055596196</v>
      </c>
      <c r="E108" s="36">
        <f t="shared" si="58"/>
        <v>13136.851676901271</v>
      </c>
      <c r="F108" s="36">
        <f t="shared" si="58"/>
        <v>14263.876918527612</v>
      </c>
      <c r="G108" s="36">
        <f t="shared" si="58"/>
        <v>15418.426946601858</v>
      </c>
      <c r="H108" s="36">
        <f t="shared" si="58"/>
        <v>16591.666570752899</v>
      </c>
      <c r="I108" s="36">
        <f t="shared" si="58"/>
        <v>17773.730748317983</v>
      </c>
      <c r="J108" s="36">
        <f t="shared" si="58"/>
        <v>18953.827570194877</v>
      </c>
      <c r="K108" s="36">
        <f t="shared" si="58"/>
        <v>20120.372553333884</v>
      </c>
      <c r="L108" s="36">
        <f t="shared" si="58"/>
        <v>21261.153018684123</v>
      </c>
      <c r="M108" s="36">
        <f t="shared" si="58"/>
        <v>22363.520207474245</v>
      </c>
      <c r="N108" s="36">
        <f t="shared" si="58"/>
        <v>23414.605657225533</v>
      </c>
    </row>
    <row r="109" spans="2:16" ht="13.95" customHeight="1" x14ac:dyDescent="0.3">
      <c r="B109" s="13" t="s">
        <v>96</v>
      </c>
      <c r="D109" s="33">
        <f t="shared" ref="D109:N109" si="59">D105-(D108-C108)</f>
        <v>4606.0581273883954</v>
      </c>
      <c r="E109" s="33">
        <f t="shared" si="59"/>
        <v>4861.0118790606884</v>
      </c>
      <c r="F109" s="33">
        <f t="shared" si="59"/>
        <v>4912.3002456782515</v>
      </c>
      <c r="G109" s="33">
        <f t="shared" si="59"/>
        <v>5373.611941116983</v>
      </c>
      <c r="H109" s="33">
        <f t="shared" si="59"/>
        <v>5851.6720019057375</v>
      </c>
      <c r="I109" s="33">
        <f t="shared" si="59"/>
        <v>6343.3334212727514</v>
      </c>
      <c r="J109" s="33">
        <f t="shared" si="59"/>
        <v>6844.9537713436184</v>
      </c>
      <c r="K109" s="33">
        <f t="shared" si="59"/>
        <v>7352.4207559425613</v>
      </c>
      <c r="L109" s="33">
        <f t="shared" si="59"/>
        <v>7861.1917227606209</v>
      </c>
      <c r="M109" s="33">
        <f t="shared" si="59"/>
        <v>8366.3472670544761</v>
      </c>
      <c r="N109" s="33">
        <f t="shared" si="59"/>
        <v>8862.6585855180056</v>
      </c>
      <c r="P109" s="2" t="s">
        <v>97</v>
      </c>
    </row>
    <row r="110" spans="2:16" ht="13.95" customHeight="1" x14ac:dyDescent="0.3">
      <c r="B110" s="8" t="s">
        <v>58</v>
      </c>
      <c r="D110" s="11">
        <f t="shared" ref="D110:N110" si="60">D109/D105</f>
        <v>0.90316830962171835</v>
      </c>
      <c r="E110" s="11">
        <f t="shared" si="60"/>
        <v>0.87394586566017607</v>
      </c>
      <c r="F110" s="11">
        <f t="shared" si="60"/>
        <v>0.81338557691657998</v>
      </c>
      <c r="G110" s="11">
        <f t="shared" si="60"/>
        <v>0.82314317053973429</v>
      </c>
      <c r="H110" s="11">
        <f t="shared" si="60"/>
        <v>0.83298869984367274</v>
      </c>
      <c r="I110" s="11">
        <f t="shared" si="60"/>
        <v>0.84292335892689141</v>
      </c>
      <c r="J110" s="11">
        <f t="shared" si="60"/>
        <v>0.85294836360610249</v>
      </c>
      <c r="K110" s="11">
        <f t="shared" si="60"/>
        <v>0.86306495191225263</v>
      </c>
      <c r="L110" s="11">
        <f t="shared" si="60"/>
        <v>0.87327438460019935</v>
      </c>
      <c r="M110" s="11">
        <f t="shared" si="60"/>
        <v>0.88357794567247916</v>
      </c>
      <c r="N110" s="11">
        <f t="shared" si="60"/>
        <v>0.89397694291763741</v>
      </c>
      <c r="P110" s="2" t="s">
        <v>98</v>
      </c>
    </row>
    <row r="111" spans="2:16" ht="13.95" customHeight="1" x14ac:dyDescent="0.3">
      <c r="B111" s="37" t="s">
        <v>27</v>
      </c>
      <c r="C111" s="38">
        <v>895.11912301518612</v>
      </c>
      <c r="D111" s="39">
        <v>63090</v>
      </c>
      <c r="E111" s="40">
        <f>C111/D111</f>
        <v>1.4187971517121352E-2</v>
      </c>
      <c r="P111" s="2" t="s">
        <v>99</v>
      </c>
    </row>
    <row r="112" spans="2:16" ht="13.95" customHeight="1" x14ac:dyDescent="0.3">
      <c r="B112" s="8" t="s">
        <v>29</v>
      </c>
      <c r="C112" s="23">
        <f t="shared" ref="C112:N112" si="61">C105*$E$111</f>
        <v>66.349254273413052</v>
      </c>
      <c r="D112" s="23">
        <f t="shared" si="61"/>
        <v>72.357079872480497</v>
      </c>
      <c r="E112" s="23">
        <f t="shared" si="61"/>
        <v>78.915526458155909</v>
      </c>
      <c r="F112" s="23">
        <f t="shared" si="61"/>
        <v>85.68577799650258</v>
      </c>
      <c r="G112" s="23">
        <f t="shared" si="61"/>
        <v>92.621376078039987</v>
      </c>
      <c r="H112" s="23">
        <f t="shared" si="61"/>
        <v>99.669246060788211</v>
      </c>
      <c r="I112" s="23">
        <f t="shared" si="61"/>
        <v>106.77012678732461</v>
      </c>
      <c r="J112" s="23">
        <f t="shared" si="61"/>
        <v>113.85918924007044</v>
      </c>
      <c r="K112" s="23">
        <f t="shared" si="61"/>
        <v>120.86684326142193</v>
      </c>
      <c r="L112" s="23">
        <f t="shared" si="61"/>
        <v>127.71972500283545</v>
      </c>
      <c r="M112" s="23">
        <f t="shared" si="61"/>
        <v>134.34185100327835</v>
      </c>
      <c r="N112" s="23">
        <f t="shared" si="61"/>
        <v>140.65591800043242</v>
      </c>
    </row>
    <row r="113" spans="2:16" ht="13.95" customHeight="1" x14ac:dyDescent="0.3">
      <c r="B113" s="8" t="s">
        <v>30</v>
      </c>
      <c r="D113" s="23">
        <f t="shared" ref="D113:N113" si="62">D109*$E$111</f>
        <v>65.350621517591861</v>
      </c>
      <c r="E113" s="23">
        <f t="shared" si="62"/>
        <v>68.967898084501584</v>
      </c>
      <c r="F113" s="23">
        <f t="shared" si="62"/>
        <v>69.695575969231243</v>
      </c>
      <c r="G113" s="23">
        <f t="shared" si="62"/>
        <v>76.240653164630928</v>
      </c>
      <c r="H113" s="23">
        <f t="shared" si="62"/>
        <v>83.023355690575087</v>
      </c>
      <c r="I113" s="23">
        <f t="shared" si="62"/>
        <v>89.999033904621726</v>
      </c>
      <c r="J113" s="23">
        <f t="shared" si="62"/>
        <v>97.11600914383564</v>
      </c>
      <c r="K113" s="23">
        <f t="shared" si="62"/>
        <v>104.31593626720489</v>
      </c>
      <c r="L113" s="23">
        <f t="shared" si="62"/>
        <v>111.53436425315782</v>
      </c>
      <c r="M113" s="23">
        <f t="shared" si="62"/>
        <v>118.70149672731498</v>
      </c>
      <c r="N113" s="23">
        <f t="shared" si="62"/>
        <v>125.74314757730046</v>
      </c>
    </row>
    <row r="114" spans="2:16" ht="13.95" customHeight="1" x14ac:dyDescent="0.3">
      <c r="B114" s="8" t="s">
        <v>100</v>
      </c>
      <c r="C114" s="23">
        <f t="shared" ref="C114:N114" si="63">C108*$E$111</f>
        <v>169.43119068798015</v>
      </c>
      <c r="D114" s="23">
        <f t="shared" si="63"/>
        <v>176.43764904286877</v>
      </c>
      <c r="E114" s="23">
        <f t="shared" si="63"/>
        <v>186.38527741652311</v>
      </c>
      <c r="F114" s="23">
        <f t="shared" si="63"/>
        <v>202.37547944379443</v>
      </c>
      <c r="G114" s="23">
        <f t="shared" si="63"/>
        <v>218.75620235720348</v>
      </c>
      <c r="H114" s="23">
        <f t="shared" si="63"/>
        <v>235.40209272741663</v>
      </c>
      <c r="I114" s="23">
        <f t="shared" si="63"/>
        <v>252.1731856101195</v>
      </c>
      <c r="J114" s="23">
        <f t="shared" si="63"/>
        <v>268.91636570635433</v>
      </c>
      <c r="K114" s="23">
        <f t="shared" si="63"/>
        <v>285.46727270057136</v>
      </c>
      <c r="L114" s="23">
        <f t="shared" si="63"/>
        <v>301.65263345024897</v>
      </c>
      <c r="M114" s="23">
        <f t="shared" si="63"/>
        <v>317.29298772621235</v>
      </c>
      <c r="N114" s="23">
        <f t="shared" si="63"/>
        <v>332.20575814934432</v>
      </c>
    </row>
    <row r="117" spans="2:16" ht="13.95" customHeight="1" x14ac:dyDescent="0.3">
      <c r="B117" s="52" t="s">
        <v>110</v>
      </c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</row>
    <row r="118" spans="2:16" ht="13.95" customHeight="1" x14ac:dyDescent="0.3">
      <c r="B118" s="6" t="s">
        <v>7</v>
      </c>
      <c r="C118" s="7" t="s">
        <v>8</v>
      </c>
      <c r="D118" s="7" t="s">
        <v>9</v>
      </c>
      <c r="E118" s="7" t="s">
        <v>10</v>
      </c>
      <c r="F118" s="7" t="s">
        <v>11</v>
      </c>
      <c r="G118" s="7" t="s">
        <v>12</v>
      </c>
      <c r="H118" s="7" t="s">
        <v>13</v>
      </c>
      <c r="I118" s="7" t="s">
        <v>14</v>
      </c>
      <c r="J118" s="7" t="s">
        <v>15</v>
      </c>
      <c r="K118" s="7" t="s">
        <v>16</v>
      </c>
      <c r="L118" s="7" t="s">
        <v>17</v>
      </c>
      <c r="M118" s="7" t="s">
        <v>18</v>
      </c>
      <c r="N118" s="7" t="s">
        <v>19</v>
      </c>
      <c r="P118" s="7" t="s">
        <v>20</v>
      </c>
    </row>
    <row r="119" spans="2:16" ht="13.95" customHeight="1" x14ac:dyDescent="0.3">
      <c r="B119" s="13" t="s">
        <v>21</v>
      </c>
      <c r="C119" s="32">
        <v>13604.778</v>
      </c>
      <c r="D119" s="32">
        <v>15814.1</v>
      </c>
      <c r="E119" s="32">
        <v>18082.900000000001</v>
      </c>
      <c r="F119" s="33">
        <f t="shared" ref="F119:N119" si="64">E119*(1+F120)</f>
        <v>20483.375336973058</v>
      </c>
      <c r="G119" s="33">
        <f t="shared" si="64"/>
        <v>22982.957857689911</v>
      </c>
      <c r="H119" s="33">
        <f t="shared" si="64"/>
        <v>25541.220102276424</v>
      </c>
      <c r="I119" s="33">
        <f t="shared" si="64"/>
        <v>28110.481048016638</v>
      </c>
      <c r="J119" s="33">
        <f t="shared" si="64"/>
        <v>30636.887495548337</v>
      </c>
      <c r="K119" s="33">
        <f t="shared" si="64"/>
        <v>33061.969791073119</v>
      </c>
      <c r="L119" s="33">
        <f t="shared" si="64"/>
        <v>35324.634801437242</v>
      </c>
      <c r="M119" s="33">
        <f t="shared" si="64"/>
        <v>37363.521329210576</v>
      </c>
      <c r="N119" s="33">
        <f t="shared" si="64"/>
        <v>39119.606831683472</v>
      </c>
      <c r="P119" s="2" t="s">
        <v>91</v>
      </c>
    </row>
    <row r="120" spans="2:16" ht="13.95" customHeight="1" x14ac:dyDescent="0.3">
      <c r="B120" s="8" t="s">
        <v>56</v>
      </c>
      <c r="D120" s="11">
        <f>D119/C119-1</f>
        <v>0.16239309454369644</v>
      </c>
      <c r="E120" s="11">
        <f>E119/D119-1</f>
        <v>0.14346690611542878</v>
      </c>
      <c r="F120" s="11">
        <f>$E$120+(g_-$E$120)*1/9</f>
        <v>0.13274836099149226</v>
      </c>
      <c r="G120" s="11">
        <f>$E$120+(g_-$E$120)*2/9</f>
        <v>0.12202981586755572</v>
      </c>
      <c r="H120" s="11">
        <f>$E$120+(g_-$E$120)*3/9</f>
        <v>0.11131127074361918</v>
      </c>
      <c r="I120" s="11">
        <f>$E$120+(g_-$E$120)*4/9</f>
        <v>0.10059272561968266</v>
      </c>
      <c r="J120" s="11">
        <f>$E$120+(g_-$E$120)*5/9</f>
        <v>8.9874180495746123E-2</v>
      </c>
      <c r="K120" s="11">
        <f>$E$120+(g_-$E$120)*6/9</f>
        <v>7.9155635371809599E-2</v>
      </c>
      <c r="L120" s="11">
        <f>$E$120+(g_-$E$120)*7/9</f>
        <v>6.8437090247873061E-2</v>
      </c>
      <c r="M120" s="11">
        <f>$E$120+(g_-$E$120)*8/9</f>
        <v>5.7718545123936538E-2</v>
      </c>
      <c r="N120" s="11">
        <f>$E$120+(g_-$E$120)*9/9</f>
        <v>4.7E-2</v>
      </c>
      <c r="P120" s="2" t="s">
        <v>92</v>
      </c>
    </row>
    <row r="121" spans="2:16" ht="13.95" customHeight="1" x14ac:dyDescent="0.3">
      <c r="B121" s="8" t="s">
        <v>93</v>
      </c>
      <c r="C121" s="34">
        <v>0.13896</v>
      </c>
      <c r="D121" s="34">
        <v>0.15057999999999999</v>
      </c>
      <c r="E121" s="34">
        <v>0.15956999999999999</v>
      </c>
      <c r="F121" s="35">
        <f t="shared" ref="F121:N121" si="65">$E$121</f>
        <v>0.15956999999999999</v>
      </c>
      <c r="G121" s="35">
        <f t="shared" si="65"/>
        <v>0.15956999999999999</v>
      </c>
      <c r="H121" s="35">
        <f t="shared" si="65"/>
        <v>0.15956999999999999</v>
      </c>
      <c r="I121" s="35">
        <f t="shared" si="65"/>
        <v>0.15956999999999999</v>
      </c>
      <c r="J121" s="35">
        <f t="shared" si="65"/>
        <v>0.15956999999999999</v>
      </c>
      <c r="K121" s="35">
        <f t="shared" si="65"/>
        <v>0.15956999999999999</v>
      </c>
      <c r="L121" s="35">
        <f t="shared" si="65"/>
        <v>0.15956999999999999</v>
      </c>
      <c r="M121" s="35">
        <f t="shared" si="65"/>
        <v>0.15956999999999999</v>
      </c>
      <c r="N121" s="35">
        <f t="shared" si="65"/>
        <v>0.15956999999999999</v>
      </c>
      <c r="P121" s="2" t="s">
        <v>94</v>
      </c>
    </row>
    <row r="122" spans="2:16" ht="13.95" customHeight="1" x14ac:dyDescent="0.3">
      <c r="B122" s="8" t="s">
        <v>95</v>
      </c>
      <c r="C122" s="36">
        <f t="shared" ref="C122:N122" si="66">C119/C121</f>
        <v>97904.274611398971</v>
      </c>
      <c r="D122" s="36">
        <f t="shared" si="66"/>
        <v>105021.25116217294</v>
      </c>
      <c r="E122" s="36">
        <f t="shared" si="66"/>
        <v>113322.67970169833</v>
      </c>
      <c r="F122" s="36">
        <f t="shared" si="66"/>
        <v>128366.07969526264</v>
      </c>
      <c r="G122" s="36">
        <f t="shared" si="66"/>
        <v>144030.56876411551</v>
      </c>
      <c r="H122" s="36">
        <f t="shared" si="66"/>
        <v>160062.79439917544</v>
      </c>
      <c r="I122" s="36">
        <f t="shared" si="66"/>
        <v>176163.94715809138</v>
      </c>
      <c r="J122" s="36">
        <f t="shared" si="66"/>
        <v>191996.53754182075</v>
      </c>
      <c r="K122" s="36">
        <f t="shared" si="66"/>
        <v>207194.14546013111</v>
      </c>
      <c r="L122" s="36">
        <f t="shared" si="66"/>
        <v>221373.90989181702</v>
      </c>
      <c r="M122" s="36">
        <f t="shared" si="66"/>
        <v>234151.28989917014</v>
      </c>
      <c r="N122" s="36">
        <f t="shared" si="66"/>
        <v>245156.40052443111</v>
      </c>
    </row>
    <row r="123" spans="2:16" ht="13.95" customHeight="1" x14ac:dyDescent="0.3">
      <c r="B123" s="13" t="s">
        <v>96</v>
      </c>
      <c r="D123" s="33">
        <f t="shared" ref="D123:N123" si="67">D119-(D122-C122)</f>
        <v>8697.1234492260355</v>
      </c>
      <c r="E123" s="33">
        <f t="shared" si="67"/>
        <v>9781.4714604746041</v>
      </c>
      <c r="F123" s="33">
        <f t="shared" si="67"/>
        <v>5439.9753434087506</v>
      </c>
      <c r="G123" s="33">
        <f t="shared" si="67"/>
        <v>7318.4687888370427</v>
      </c>
      <c r="H123" s="33">
        <f t="shared" si="67"/>
        <v>9508.9944672164893</v>
      </c>
      <c r="I123" s="33">
        <f t="shared" si="67"/>
        <v>12009.3282891007</v>
      </c>
      <c r="J123" s="33">
        <f t="shared" si="67"/>
        <v>14804.297111818963</v>
      </c>
      <c r="K123" s="33">
        <f t="shared" si="67"/>
        <v>17864.361872762762</v>
      </c>
      <c r="L123" s="33">
        <f t="shared" si="67"/>
        <v>21144.870369751334</v>
      </c>
      <c r="M123" s="33">
        <f t="shared" si="67"/>
        <v>24586.14132185746</v>
      </c>
      <c r="N123" s="33">
        <f t="shared" si="67"/>
        <v>28114.496206422496</v>
      </c>
      <c r="P123" s="2" t="s">
        <v>97</v>
      </c>
    </row>
    <row r="124" spans="2:16" ht="13.95" customHeight="1" x14ac:dyDescent="0.3">
      <c r="B124" s="8" t="s">
        <v>58</v>
      </c>
      <c r="D124" s="11">
        <f t="shared" ref="D124:N124" si="68">D123/D119</f>
        <v>0.5499600640710528</v>
      </c>
      <c r="E124" s="11">
        <f t="shared" si="68"/>
        <v>0.54092382640365222</v>
      </c>
      <c r="F124" s="11">
        <f t="shared" si="68"/>
        <v>0.26558002545554321</v>
      </c>
      <c r="G124" s="11">
        <f t="shared" si="68"/>
        <v>0.31843024010020288</v>
      </c>
      <c r="H124" s="11">
        <f t="shared" si="68"/>
        <v>0.37229993043163107</v>
      </c>
      <c r="I124" s="11">
        <f t="shared" si="68"/>
        <v>0.42721888211685477</v>
      </c>
      <c r="J124" s="11">
        <f t="shared" si="68"/>
        <v>0.48321805255086986</v>
      </c>
      <c r="K124" s="11">
        <f t="shared" si="68"/>
        <v>0.54032962904667037</v>
      </c>
      <c r="L124" s="11">
        <f t="shared" si="68"/>
        <v>0.59858709052785508</v>
      </c>
      <c r="M124" s="11">
        <f t="shared" si="68"/>
        <v>0.65802527297222824</v>
      </c>
      <c r="N124" s="11">
        <f t="shared" si="68"/>
        <v>0.71868043887527533</v>
      </c>
      <c r="P124" s="2" t="s">
        <v>98</v>
      </c>
    </row>
    <row r="125" spans="2:16" ht="13.95" customHeight="1" x14ac:dyDescent="0.3">
      <c r="B125" s="37" t="s">
        <v>27</v>
      </c>
      <c r="C125" s="38">
        <v>735.15957581862858</v>
      </c>
      <c r="D125" s="39">
        <v>109308.4474447</v>
      </c>
      <c r="E125" s="40">
        <f>C125/D125</f>
        <v>6.7255513457965049E-3</v>
      </c>
      <c r="P125" s="2" t="s">
        <v>99</v>
      </c>
    </row>
    <row r="126" spans="2:16" ht="13.95" customHeight="1" x14ac:dyDescent="0.3">
      <c r="B126" s="8" t="s">
        <v>29</v>
      </c>
      <c r="C126" s="23">
        <f t="shared" ref="C126:N126" si="69">C119*$E$125</f>
        <v>91.499632987162684</v>
      </c>
      <c r="D126" s="23">
        <f t="shared" si="69"/>
        <v>106.35854153756051</v>
      </c>
      <c r="E126" s="23">
        <f t="shared" si="69"/>
        <v>121.61747243090363</v>
      </c>
      <c r="F126" s="23">
        <f t="shared" si="69"/>
        <v>137.7619925640341</v>
      </c>
      <c r="G126" s="23">
        <f t="shared" si="69"/>
        <v>154.57306315017073</v>
      </c>
      <c r="H126" s="23">
        <f t="shared" si="69"/>
        <v>171.77878723214994</v>
      </c>
      <c r="I126" s="23">
        <f t="shared" si="69"/>
        <v>189.05848364347545</v>
      </c>
      <c r="J126" s="23">
        <f t="shared" si="69"/>
        <v>206.04995992670123</v>
      </c>
      <c r="K126" s="23">
        <f t="shared" si="69"/>
        <v>222.35997542303519</v>
      </c>
      <c r="L126" s="23">
        <f t="shared" si="69"/>
        <v>237.57764512857628</v>
      </c>
      <c r="M126" s="23">
        <f t="shared" si="69"/>
        <v>251.29028115936862</v>
      </c>
      <c r="N126" s="23">
        <f t="shared" si="69"/>
        <v>263.1009243738589</v>
      </c>
    </row>
    <row r="127" spans="2:16" ht="13.95" customHeight="1" x14ac:dyDescent="0.3">
      <c r="B127" s="8" t="s">
        <v>30</v>
      </c>
      <c r="D127" s="23">
        <f t="shared" ref="D127:N127" si="70">D123*$E$125</f>
        <v>58.492950318500505</v>
      </c>
      <c r="E127" s="23">
        <f t="shared" si="70"/>
        <v>65.785788544865085</v>
      </c>
      <c r="F127" s="23">
        <f t="shared" si="70"/>
        <v>36.58683349196253</v>
      </c>
      <c r="G127" s="23">
        <f t="shared" si="70"/>
        <v>49.220737611932691</v>
      </c>
      <c r="H127" s="23">
        <f t="shared" si="70"/>
        <v>63.953230536159381</v>
      </c>
      <c r="I127" s="23">
        <f t="shared" si="70"/>
        <v>80.769354036873253</v>
      </c>
      <c r="J127" s="23">
        <f t="shared" si="70"/>
        <v>99.567060363965339</v>
      </c>
      <c r="K127" s="23">
        <f t="shared" si="70"/>
        <v>120.14768303515537</v>
      </c>
      <c r="L127" s="23">
        <f t="shared" si="70"/>
        <v>142.21091137197374</v>
      </c>
      <c r="M127" s="23">
        <f t="shared" si="70"/>
        <v>165.35535585516149</v>
      </c>
      <c r="N127" s="23">
        <f t="shared" si="70"/>
        <v>189.08548779749555</v>
      </c>
    </row>
    <row r="128" spans="2:16" ht="13.95" customHeight="1" x14ac:dyDescent="0.3">
      <c r="B128" s="8" t="s">
        <v>100</v>
      </c>
      <c r="C128" s="23">
        <f t="shared" ref="C128:N128" si="71">C122*$E$125</f>
        <v>658.46022587192488</v>
      </c>
      <c r="D128" s="23">
        <f t="shared" si="71"/>
        <v>706.32581709098497</v>
      </c>
      <c r="E128" s="23">
        <f t="shared" si="71"/>
        <v>762.15750097702346</v>
      </c>
      <c r="F128" s="23">
        <f t="shared" si="71"/>
        <v>863.33266004909501</v>
      </c>
      <c r="G128" s="23">
        <f t="shared" si="71"/>
        <v>968.68498558733313</v>
      </c>
      <c r="H128" s="23">
        <f t="shared" si="71"/>
        <v>1076.5105422833237</v>
      </c>
      <c r="I128" s="23">
        <f t="shared" si="71"/>
        <v>1184.7996718899258</v>
      </c>
      <c r="J128" s="23">
        <f t="shared" si="71"/>
        <v>1291.2825714526618</v>
      </c>
      <c r="K128" s="23">
        <f t="shared" si="71"/>
        <v>1393.4948638405417</v>
      </c>
      <c r="L128" s="23">
        <f t="shared" si="71"/>
        <v>1488.8615975971441</v>
      </c>
      <c r="M128" s="23">
        <f t="shared" si="71"/>
        <v>1574.7965229013512</v>
      </c>
      <c r="N128" s="23">
        <f t="shared" si="71"/>
        <v>1648.8119594777147</v>
      </c>
    </row>
    <row r="131" spans="2:16" ht="13.95" customHeight="1" x14ac:dyDescent="0.3">
      <c r="B131" s="52" t="s">
        <v>111</v>
      </c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</row>
    <row r="132" spans="2:16" ht="13.95" customHeight="1" x14ac:dyDescent="0.3">
      <c r="B132" s="6" t="s">
        <v>7</v>
      </c>
      <c r="C132" s="7" t="s">
        <v>8</v>
      </c>
      <c r="D132" s="7" t="s">
        <v>9</v>
      </c>
      <c r="E132" s="7" t="s">
        <v>10</v>
      </c>
      <c r="F132" s="7" t="s">
        <v>11</v>
      </c>
      <c r="G132" s="7" t="s">
        <v>12</v>
      </c>
      <c r="H132" s="7" t="s">
        <v>13</v>
      </c>
      <c r="I132" s="7" t="s">
        <v>14</v>
      </c>
      <c r="J132" s="7" t="s">
        <v>15</v>
      </c>
      <c r="K132" s="7" t="s">
        <v>16</v>
      </c>
      <c r="L132" s="7" t="s">
        <v>17</v>
      </c>
      <c r="M132" s="7" t="s">
        <v>18</v>
      </c>
      <c r="N132" s="7" t="s">
        <v>19</v>
      </c>
      <c r="P132" s="7" t="s">
        <v>20</v>
      </c>
    </row>
    <row r="133" spans="2:16" ht="13.95" customHeight="1" x14ac:dyDescent="0.3">
      <c r="B133" s="13" t="s">
        <v>21</v>
      </c>
      <c r="C133" s="32">
        <v>3715.9</v>
      </c>
      <c r="D133" s="32">
        <v>3997.4</v>
      </c>
      <c r="E133" s="32">
        <v>4403.375</v>
      </c>
      <c r="F133" s="33">
        <f t="shared" ref="F133:N133" si="72">E133*(1+F134)</f>
        <v>4823.8866028911843</v>
      </c>
      <c r="G133" s="33">
        <f t="shared" si="72"/>
        <v>5255.3126951306567</v>
      </c>
      <c r="H133" s="33">
        <f t="shared" si="72"/>
        <v>5693.4648048590261</v>
      </c>
      <c r="I133" s="33">
        <f t="shared" si="72"/>
        <v>6133.6321480326615</v>
      </c>
      <c r="J133" s="33">
        <f t="shared" si="72"/>
        <v>6570.6459796648478</v>
      </c>
      <c r="K133" s="33">
        <f t="shared" si="72"/>
        <v>6998.9639716989186</v>
      </c>
      <c r="L133" s="33">
        <f t="shared" si="72"/>
        <v>7412.773460916781</v>
      </c>
      <c r="M133" s="33">
        <f t="shared" si="72"/>
        <v>7806.1114990771166</v>
      </c>
      <c r="N133" s="33">
        <f t="shared" si="72"/>
        <v>8172.9987395337403</v>
      </c>
      <c r="P133" s="2" t="s">
        <v>91</v>
      </c>
    </row>
    <row r="134" spans="2:16" ht="13.95" customHeight="1" x14ac:dyDescent="0.3">
      <c r="B134" s="8" t="s">
        <v>56</v>
      </c>
      <c r="D134" s="11">
        <f>D133/C133-1</f>
        <v>7.5755537016604313E-2</v>
      </c>
      <c r="E134" s="11">
        <f>E133/D133-1</f>
        <v>0.10155976384650023</v>
      </c>
      <c r="F134" s="11">
        <f>$E$134+(g_-$E$134)*1/9</f>
        <v>9.549756786355576E-2</v>
      </c>
      <c r="G134" s="11">
        <f>$E$134+(g_-$E$134)*2/9</f>
        <v>8.9435371880611292E-2</v>
      </c>
      <c r="H134" s="11">
        <f>$E$134+(g_-$E$134)*3/9</f>
        <v>8.3373175897666824E-2</v>
      </c>
      <c r="I134" s="11">
        <f>$E$134+(g_-$E$134)*4/9</f>
        <v>7.7310979914722355E-2</v>
      </c>
      <c r="J134" s="11">
        <f>$E$134+(g_-$E$134)*5/9</f>
        <v>7.1248783931777873E-2</v>
      </c>
      <c r="K134" s="11">
        <f>$E$134+(g_-$E$134)*6/9</f>
        <v>6.5186587948833419E-2</v>
      </c>
      <c r="L134" s="11">
        <f>$E$134+(g_-$E$134)*7/9</f>
        <v>5.9124391965888944E-2</v>
      </c>
      <c r="M134" s="11">
        <f>$E$134+(g_-$E$134)*8/9</f>
        <v>5.3062195982944468E-2</v>
      </c>
      <c r="N134" s="11">
        <f>$E$134+(g_-$E$134)*9/9</f>
        <v>4.7E-2</v>
      </c>
      <c r="P134" s="2" t="s">
        <v>92</v>
      </c>
    </row>
    <row r="135" spans="2:16" ht="13.95" customHeight="1" x14ac:dyDescent="0.3">
      <c r="B135" s="8" t="s">
        <v>93</v>
      </c>
      <c r="C135" s="34">
        <v>0.23357</v>
      </c>
      <c r="D135" s="34">
        <v>0.22947999999999999</v>
      </c>
      <c r="E135" s="34">
        <v>0.22982</v>
      </c>
      <c r="F135" s="35">
        <f t="shared" ref="F135:N135" si="73">$E$135</f>
        <v>0.22982</v>
      </c>
      <c r="G135" s="35">
        <f t="shared" si="73"/>
        <v>0.22982</v>
      </c>
      <c r="H135" s="35">
        <f t="shared" si="73"/>
        <v>0.22982</v>
      </c>
      <c r="I135" s="35">
        <f t="shared" si="73"/>
        <v>0.22982</v>
      </c>
      <c r="J135" s="35">
        <f t="shared" si="73"/>
        <v>0.22982</v>
      </c>
      <c r="K135" s="35">
        <f t="shared" si="73"/>
        <v>0.22982</v>
      </c>
      <c r="L135" s="35">
        <f t="shared" si="73"/>
        <v>0.22982</v>
      </c>
      <c r="M135" s="35">
        <f t="shared" si="73"/>
        <v>0.22982</v>
      </c>
      <c r="N135" s="35">
        <f t="shared" si="73"/>
        <v>0.22982</v>
      </c>
      <c r="P135" s="2" t="s">
        <v>94</v>
      </c>
    </row>
    <row r="136" spans="2:16" ht="13.95" customHeight="1" x14ac:dyDescent="0.3">
      <c r="B136" s="8" t="s">
        <v>95</v>
      </c>
      <c r="C136" s="36">
        <f t="shared" ref="C136:N136" si="74">C133/C135</f>
        <v>15909.149291432976</v>
      </c>
      <c r="D136" s="36">
        <f t="shared" si="74"/>
        <v>17419.382952762768</v>
      </c>
      <c r="E136" s="36">
        <f t="shared" si="74"/>
        <v>19160.103559307285</v>
      </c>
      <c r="F136" s="36">
        <f t="shared" si="74"/>
        <v>20989.846849234986</v>
      </c>
      <c r="G136" s="36">
        <f t="shared" si="74"/>
        <v>22867.081607913398</v>
      </c>
      <c r="H136" s="36">
        <f t="shared" si="74"/>
        <v>24773.582825076261</v>
      </c>
      <c r="I136" s="36">
        <f t="shared" si="74"/>
        <v>26688.852789281445</v>
      </c>
      <c r="J136" s="36">
        <f t="shared" si="74"/>
        <v>28590.401095051988</v>
      </c>
      <c r="K136" s="36">
        <f t="shared" si="74"/>
        <v>30454.111790527015</v>
      </c>
      <c r="L136" s="36">
        <f t="shared" si="74"/>
        <v>32254.692633003138</v>
      </c>
      <c r="M136" s="36">
        <f t="shared" si="74"/>
        <v>33966.197454865185</v>
      </c>
      <c r="N136" s="36">
        <f t="shared" si="74"/>
        <v>35562.608735243848</v>
      </c>
    </row>
    <row r="137" spans="2:16" ht="13.95" customHeight="1" x14ac:dyDescent="0.3">
      <c r="B137" s="13" t="s">
        <v>96</v>
      </c>
      <c r="D137" s="33">
        <f t="shared" ref="D137:N137" si="75">D133-(D136-C136)</f>
        <v>2487.166338670208</v>
      </c>
      <c r="E137" s="33">
        <f t="shared" si="75"/>
        <v>2662.6543934554829</v>
      </c>
      <c r="F137" s="33">
        <f t="shared" si="75"/>
        <v>2994.1433129634834</v>
      </c>
      <c r="G137" s="33">
        <f t="shared" si="75"/>
        <v>3378.0779364522441</v>
      </c>
      <c r="H137" s="33">
        <f t="shared" si="75"/>
        <v>3786.9635876961638</v>
      </c>
      <c r="I137" s="33">
        <f t="shared" si="75"/>
        <v>4218.3621838274767</v>
      </c>
      <c r="J137" s="33">
        <f t="shared" si="75"/>
        <v>4669.0976738943054</v>
      </c>
      <c r="K137" s="33">
        <f t="shared" si="75"/>
        <v>5135.2532762238916</v>
      </c>
      <c r="L137" s="33">
        <f t="shared" si="75"/>
        <v>5612.1926184406575</v>
      </c>
      <c r="M137" s="33">
        <f t="shared" si="75"/>
        <v>6094.6066772150698</v>
      </c>
      <c r="N137" s="33">
        <f t="shared" si="75"/>
        <v>6576.5874591550773</v>
      </c>
      <c r="P137" s="2" t="s">
        <v>97</v>
      </c>
    </row>
    <row r="138" spans="2:16" ht="13.95" customHeight="1" x14ac:dyDescent="0.3">
      <c r="B138" s="8" t="s">
        <v>58</v>
      </c>
      <c r="D138" s="11">
        <f t="shared" ref="D138:N138" si="76">D137/D133</f>
        <v>0.62219601207540098</v>
      </c>
      <c r="E138" s="11">
        <f t="shared" si="76"/>
        <v>0.60468490497754179</v>
      </c>
      <c r="F138" s="11">
        <f t="shared" si="76"/>
        <v>0.62069106499496718</v>
      </c>
      <c r="G138" s="11">
        <f t="shared" si="76"/>
        <v>0.64279294733160663</v>
      </c>
      <c r="H138" s="11">
        <f t="shared" si="76"/>
        <v>0.66514217923402641</v>
      </c>
      <c r="I138" s="11">
        <f t="shared" si="76"/>
        <v>0.68774293632533867</v>
      </c>
      <c r="J138" s="11">
        <f t="shared" si="76"/>
        <v>0.71059948874805523</v>
      </c>
      <c r="K138" s="11">
        <f t="shared" si="76"/>
        <v>0.73371620385372083</v>
      </c>
      <c r="L138" s="11">
        <f t="shared" si="76"/>
        <v>0.75709754898493353</v>
      </c>
      <c r="M138" s="11">
        <f t="shared" si="76"/>
        <v>0.78074809435345749</v>
      </c>
      <c r="N138" s="11">
        <f t="shared" si="76"/>
        <v>0.80467251601830836</v>
      </c>
      <c r="P138" s="2" t="s">
        <v>98</v>
      </c>
    </row>
    <row r="139" spans="2:16" ht="13.95" customHeight="1" x14ac:dyDescent="0.3">
      <c r="B139" s="37" t="s">
        <v>27</v>
      </c>
      <c r="C139" s="38">
        <v>663.936809511673</v>
      </c>
      <c r="D139" s="39">
        <v>34042.756059000007</v>
      </c>
      <c r="E139" s="40">
        <f>C139/D139</f>
        <v>1.950302755631754E-2</v>
      </c>
      <c r="P139" s="2" t="s">
        <v>99</v>
      </c>
    </row>
    <row r="140" spans="2:16" ht="13.95" customHeight="1" x14ac:dyDescent="0.3">
      <c r="B140" s="8" t="s">
        <v>29</v>
      </c>
      <c r="C140" s="23">
        <f t="shared" ref="C140:N140" si="77">C133*$E$139</f>
        <v>72.471300096520352</v>
      </c>
      <c r="D140" s="23">
        <f t="shared" si="77"/>
        <v>77.96140235362374</v>
      </c>
      <c r="E140" s="23">
        <f t="shared" si="77"/>
        <v>85.879143965799742</v>
      </c>
      <c r="F140" s="23">
        <f t="shared" si="77"/>
        <v>94.080393344737772</v>
      </c>
      <c r="G140" s="23">
        <f t="shared" si="77"/>
        <v>102.4945083101986</v>
      </c>
      <c r="H140" s="23">
        <f t="shared" si="77"/>
        <v>111.03980098008965</v>
      </c>
      <c r="I140" s="23">
        <f t="shared" si="77"/>
        <v>119.62439680339614</v>
      </c>
      <c r="J140" s="23">
        <f t="shared" si="77"/>
        <v>128.14748960421059</v>
      </c>
      <c r="K140" s="23">
        <f t="shared" si="77"/>
        <v>136.50098720571765</v>
      </c>
      <c r="L140" s="23">
        <f t="shared" si="77"/>
        <v>144.57152507699931</v>
      </c>
      <c r="M140" s="23">
        <f t="shared" si="77"/>
        <v>152.24280767418821</v>
      </c>
      <c r="N140" s="23">
        <f t="shared" si="77"/>
        <v>159.39821963487506</v>
      </c>
    </row>
    <row r="141" spans="2:16" ht="13.95" customHeight="1" x14ac:dyDescent="0.3">
      <c r="B141" s="8" t="s">
        <v>30</v>
      </c>
      <c r="D141" s="23">
        <f t="shared" ref="D141:N141" si="78">D137*$E$139</f>
        <v>48.507273640230473</v>
      </c>
      <c r="E141" s="23">
        <f t="shared" si="78"/>
        <v>51.929822008512247</v>
      </c>
      <c r="F141" s="23">
        <f t="shared" si="78"/>
        <v>58.39485954029071</v>
      </c>
      <c r="G141" s="23">
        <f t="shared" si="78"/>
        <v>65.882747082016408</v>
      </c>
      <c r="H141" s="23">
        <f t="shared" si="78"/>
        <v>73.85725520560942</v>
      </c>
      <c r="I141" s="23">
        <f t="shared" si="78"/>
        <v>82.270833913715109</v>
      </c>
      <c r="J141" s="23">
        <f t="shared" si="78"/>
        <v>91.061540597098769</v>
      </c>
      <c r="K141" s="23">
        <f t="shared" si="78"/>
        <v>100.15298615486448</v>
      </c>
      <c r="L141" s="23">
        <f t="shared" si="78"/>
        <v>109.45474728881003</v>
      </c>
      <c r="M141" s="23">
        <f t="shared" si="78"/>
        <v>118.86328197064239</v>
      </c>
      <c r="N141" s="23">
        <f t="shared" si="78"/>
        <v>128.26336644243383</v>
      </c>
    </row>
    <row r="142" spans="2:16" ht="13.95" customHeight="1" x14ac:dyDescent="0.3">
      <c r="B142" s="8" t="s">
        <v>100</v>
      </c>
      <c r="C142" s="23">
        <f t="shared" ref="C142:N142" si="79">C136*$E$139</f>
        <v>310.27657702838701</v>
      </c>
      <c r="D142" s="23">
        <f t="shared" si="79"/>
        <v>339.73070574178024</v>
      </c>
      <c r="E142" s="23">
        <f t="shared" si="79"/>
        <v>373.68002769906775</v>
      </c>
      <c r="F142" s="23">
        <f t="shared" si="79"/>
        <v>409.36556150351481</v>
      </c>
      <c r="G142" s="23">
        <f t="shared" si="79"/>
        <v>445.97732273169703</v>
      </c>
      <c r="H142" s="23">
        <f t="shared" si="79"/>
        <v>483.15986850617725</v>
      </c>
      <c r="I142" s="23">
        <f t="shared" si="79"/>
        <v>520.51343139585822</v>
      </c>
      <c r="J142" s="23">
        <f t="shared" si="79"/>
        <v>557.59938040297004</v>
      </c>
      <c r="K142" s="23">
        <f t="shared" si="79"/>
        <v>593.94738145382325</v>
      </c>
      <c r="L142" s="23">
        <f t="shared" si="79"/>
        <v>629.06415924201258</v>
      </c>
      <c r="M142" s="23">
        <f t="shared" si="79"/>
        <v>662.4436849455584</v>
      </c>
      <c r="N142" s="23">
        <f t="shared" si="79"/>
        <v>693.57853813799966</v>
      </c>
    </row>
    <row r="145" spans="2:16" ht="13.95" customHeight="1" x14ac:dyDescent="0.3">
      <c r="B145" s="52" t="s">
        <v>112</v>
      </c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</row>
    <row r="146" spans="2:16" ht="13.95" customHeight="1" x14ac:dyDescent="0.3">
      <c r="B146" s="6" t="s">
        <v>7</v>
      </c>
      <c r="C146" s="7" t="s">
        <v>8</v>
      </c>
      <c r="D146" s="7" t="s">
        <v>9</v>
      </c>
      <c r="E146" s="7" t="s">
        <v>10</v>
      </c>
      <c r="F146" s="7" t="s">
        <v>11</v>
      </c>
      <c r="G146" s="7" t="s">
        <v>12</v>
      </c>
      <c r="H146" s="7" t="s">
        <v>13</v>
      </c>
      <c r="I146" s="7" t="s">
        <v>14</v>
      </c>
      <c r="J146" s="7" t="s">
        <v>15</v>
      </c>
      <c r="K146" s="7" t="s">
        <v>16</v>
      </c>
      <c r="L146" s="7" t="s">
        <v>17</v>
      </c>
      <c r="M146" s="7" t="s">
        <v>18</v>
      </c>
      <c r="N146" s="7" t="s">
        <v>19</v>
      </c>
      <c r="P146" s="7" t="s">
        <v>20</v>
      </c>
    </row>
    <row r="147" spans="2:16" ht="13.95" customHeight="1" x14ac:dyDescent="0.3">
      <c r="B147" s="13" t="s">
        <v>113</v>
      </c>
      <c r="C147" s="24">
        <f t="shared" ref="C147:N147" si="80">C14+C28+C42+C56+C70+C84+C98+C112+C126+C140</f>
        <v>5708.1180707928843</v>
      </c>
      <c r="D147" s="24">
        <f t="shared" si="80"/>
        <v>6447.8434518249705</v>
      </c>
      <c r="E147" s="24">
        <f t="shared" si="80"/>
        <v>7167.1074217837477</v>
      </c>
      <c r="F147" s="24">
        <f t="shared" si="80"/>
        <v>7926.3943945690417</v>
      </c>
      <c r="G147" s="24">
        <f t="shared" si="80"/>
        <v>8717.4463934648375</v>
      </c>
      <c r="H147" s="24">
        <f t="shared" si="80"/>
        <v>9529.7931920551364</v>
      </c>
      <c r="I147" s="24">
        <f t="shared" si="80"/>
        <v>10350.872702661682</v>
      </c>
      <c r="J147" s="24">
        <f t="shared" si="80"/>
        <v>11166.303486604347</v>
      </c>
      <c r="K147" s="24">
        <f t="shared" si="80"/>
        <v>11960.314935950917</v>
      </c>
      <c r="L147" s="24">
        <f t="shared" si="80"/>
        <v>12716.326369212718</v>
      </c>
      <c r="M147" s="24">
        <f t="shared" si="80"/>
        <v>13417.650362880831</v>
      </c>
      <c r="N147" s="24">
        <f t="shared" si="80"/>
        <v>14048.279929936227</v>
      </c>
    </row>
    <row r="148" spans="2:16" ht="13.95" customHeight="1" x14ac:dyDescent="0.3">
      <c r="B148" s="13" t="s">
        <v>114</v>
      </c>
      <c r="D148" s="24">
        <f t="shared" ref="D148:N148" si="81">D15+D29+D43+D57+D71+D85+D99+D113+D127+D141</f>
        <v>4337.046481303857</v>
      </c>
      <c r="E148" s="24">
        <f t="shared" si="81"/>
        <v>4278.3379336092121</v>
      </c>
      <c r="F148" s="24">
        <f t="shared" si="81"/>
        <v>3864.2429678156113</v>
      </c>
      <c r="G148" s="24">
        <f t="shared" si="81"/>
        <v>4474.0080817383532</v>
      </c>
      <c r="H148" s="24">
        <f t="shared" si="81"/>
        <v>5166.6556543245888</v>
      </c>
      <c r="I148" s="24">
        <f t="shared" si="81"/>
        <v>5942.8372970778628</v>
      </c>
      <c r="J148" s="24">
        <f t="shared" si="81"/>
        <v>6799.7018988898872</v>
      </c>
      <c r="K148" s="24">
        <f t="shared" si="81"/>
        <v>7730.2753836339189</v>
      </c>
      <c r="L148" s="24">
        <f t="shared" si="81"/>
        <v>8723.0458683475536</v>
      </c>
      <c r="M148" s="24">
        <f t="shared" si="81"/>
        <v>9761.8405985166755</v>
      </c>
      <c r="N148" s="24">
        <f t="shared" si="81"/>
        <v>10826.064049029585</v>
      </c>
    </row>
    <row r="149" spans="2:16" ht="13.95" customHeight="1" x14ac:dyDescent="0.3">
      <c r="B149" s="8" t="s">
        <v>115</v>
      </c>
      <c r="C149" s="23">
        <f>C16+C30+C44+C58+C72+C86+C100+C114+C128+C142</f>
        <v>30235.724154390849</v>
      </c>
      <c r="D149" s="23">
        <f t="shared" ref="D149:N149" si="82">D16+D30+D44+D58+D72+D86+D100+D114+D128+D142</f>
        <v>32346.521124911967</v>
      </c>
      <c r="E149" s="23">
        <f t="shared" si="82"/>
        <v>35235.290613086501</v>
      </c>
      <c r="F149" s="23">
        <f t="shared" si="82"/>
        <v>39297.442039839931</v>
      </c>
      <c r="G149" s="23">
        <f t="shared" si="82"/>
        <v>43540.880351566404</v>
      </c>
      <c r="H149" s="23">
        <f t="shared" si="82"/>
        <v>47904.017889296956</v>
      </c>
      <c r="I149" s="23">
        <f t="shared" si="82"/>
        <v>52312.053294880767</v>
      </c>
      <c r="J149" s="23">
        <f t="shared" si="82"/>
        <v>56678.654882595249</v>
      </c>
      <c r="K149" s="23">
        <f t="shared" si="82"/>
        <v>60908.694434912242</v>
      </c>
      <c r="L149" s="23">
        <f t="shared" si="82"/>
        <v>64901.974935777398</v>
      </c>
      <c r="M149" s="23">
        <f t="shared" si="82"/>
        <v>68557.78470014155</v>
      </c>
      <c r="N149" s="23">
        <f t="shared" si="82"/>
        <v>71780.000581048196</v>
      </c>
    </row>
    <row r="150" spans="2:16" ht="13.95" customHeight="1" x14ac:dyDescent="0.3">
      <c r="B150" s="8" t="s">
        <v>116</v>
      </c>
      <c r="C150" s="23">
        <f>C147-5708.11810081707</f>
        <v>-3.0024185434740502E-5</v>
      </c>
      <c r="D150" s="23">
        <f>D147-6447.84351004962</f>
        <v>-5.8224649365001824E-5</v>
      </c>
      <c r="E150" s="23">
        <f>E147-7167.10743501159</f>
        <v>-1.3227841918705963E-5</v>
      </c>
      <c r="P150" s="2" t="s">
        <v>117</v>
      </c>
    </row>
  </sheetData>
  <mergeCells count="11">
    <mergeCell ref="B145:P145"/>
    <mergeCell ref="B75:P75"/>
    <mergeCell ref="B89:P89"/>
    <mergeCell ref="B103:P103"/>
    <mergeCell ref="B117:P117"/>
    <mergeCell ref="B131:P131"/>
    <mergeCell ref="B5:P5"/>
    <mergeCell ref="B19:P19"/>
    <mergeCell ref="B33:P33"/>
    <mergeCell ref="B47:P47"/>
    <mergeCell ref="B61:P61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P92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0</v>
      </c>
    </row>
    <row r="2" spans="2:16" ht="13.95" customHeight="1" x14ac:dyDescent="0.3">
      <c r="B2" s="2" t="s">
        <v>1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52" t="s">
        <v>6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</row>
    <row r="6" spans="2:16" ht="13.95" customHeight="1" x14ac:dyDescent="0.3">
      <c r="B6" s="6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P6" s="7" t="s">
        <v>20</v>
      </c>
    </row>
    <row r="7" spans="2:16" ht="13.95" customHeight="1" x14ac:dyDescent="0.3">
      <c r="B7" s="8" t="s">
        <v>21</v>
      </c>
      <c r="C7" s="41">
        <v>50922</v>
      </c>
      <c r="D7" s="41">
        <v>56028</v>
      </c>
      <c r="E7" s="41">
        <v>61318</v>
      </c>
      <c r="F7" s="41">
        <v>66407</v>
      </c>
      <c r="G7" s="41">
        <v>71853</v>
      </c>
      <c r="H7" s="41">
        <v>76890</v>
      </c>
      <c r="I7" s="41">
        <v>81937</v>
      </c>
      <c r="J7" s="41">
        <v>87124</v>
      </c>
      <c r="K7" s="41">
        <v>92891</v>
      </c>
      <c r="L7" s="41">
        <v>99086</v>
      </c>
      <c r="M7" s="41">
        <v>105569</v>
      </c>
      <c r="N7" s="41">
        <v>112362</v>
      </c>
      <c r="P7" s="2" t="s">
        <v>22</v>
      </c>
    </row>
    <row r="8" spans="2:16" ht="13.95" customHeight="1" x14ac:dyDescent="0.3">
      <c r="B8" s="8" t="s">
        <v>23</v>
      </c>
      <c r="C8" s="41">
        <v>29433</v>
      </c>
      <c r="D8" s="41">
        <v>36310</v>
      </c>
      <c r="E8" s="41">
        <v>42954</v>
      </c>
      <c r="F8" s="41">
        <v>47031</v>
      </c>
      <c r="G8" s="41">
        <v>52633</v>
      </c>
      <c r="H8" s="41">
        <v>58205</v>
      </c>
      <c r="I8" s="41">
        <v>62018</v>
      </c>
      <c r="J8" s="41">
        <v>65938</v>
      </c>
      <c r="K8" s="41">
        <v>72614</v>
      </c>
      <c r="L8" s="41">
        <v>77433</v>
      </c>
      <c r="M8" s="41">
        <v>83534</v>
      </c>
      <c r="N8" s="41">
        <v>90010</v>
      </c>
      <c r="P8" s="2" t="s">
        <v>24</v>
      </c>
    </row>
    <row r="9" spans="2:16" ht="13.95" customHeight="1" x14ac:dyDescent="0.3">
      <c r="B9" s="8" t="s">
        <v>25</v>
      </c>
      <c r="C9" s="11">
        <f t="shared" ref="C9:N9" si="0">C8/C7</f>
        <v>0.57800164958171318</v>
      </c>
      <c r="D9" s="11">
        <f t="shared" si="0"/>
        <v>0.64806882273149136</v>
      </c>
      <c r="E9" s="11">
        <f t="shared" si="0"/>
        <v>0.70051208454287484</v>
      </c>
      <c r="F9" s="11">
        <f t="shared" si="0"/>
        <v>0.70822353065188914</v>
      </c>
      <c r="G9" s="11">
        <f t="shared" si="0"/>
        <v>0.73250942897304216</v>
      </c>
      <c r="H9" s="11">
        <f t="shared" si="0"/>
        <v>0.75699050591754458</v>
      </c>
      <c r="I9" s="11">
        <f t="shared" si="0"/>
        <v>0.75689859282131389</v>
      </c>
      <c r="J9" s="11">
        <f t="shared" si="0"/>
        <v>0.7568293466782976</v>
      </c>
      <c r="K9" s="11">
        <f t="shared" si="0"/>
        <v>0.78171189889225001</v>
      </c>
      <c r="L9" s="11">
        <f t="shared" si="0"/>
        <v>0.78147266011343686</v>
      </c>
      <c r="M9" s="11">
        <f t="shared" si="0"/>
        <v>0.79127395352802432</v>
      </c>
      <c r="N9" s="11">
        <f t="shared" si="0"/>
        <v>0.80107153664050124</v>
      </c>
      <c r="P9" s="2" t="s">
        <v>26</v>
      </c>
    </row>
    <row r="10" spans="2:16" ht="13.95" customHeight="1" x14ac:dyDescent="0.3">
      <c r="B10" s="37" t="s">
        <v>27</v>
      </c>
      <c r="C10" s="38">
        <v>19089.265090629371</v>
      </c>
      <c r="D10" s="39">
        <v>564225.22764619999</v>
      </c>
      <c r="E10" s="40">
        <f>C10/D10</f>
        <v>3.3832703954526797E-2</v>
      </c>
      <c r="P10" s="2" t="s">
        <v>28</v>
      </c>
    </row>
    <row r="11" spans="2:16" ht="13.95" customHeight="1" x14ac:dyDescent="0.3">
      <c r="B11" s="8" t="s">
        <v>29</v>
      </c>
      <c r="C11" s="23">
        <f t="shared" ref="C11:N11" si="1">C7*$E$10</f>
        <v>1722.8289507724135</v>
      </c>
      <c r="D11" s="23">
        <f t="shared" si="1"/>
        <v>1895.5787371642273</v>
      </c>
      <c r="E11" s="23">
        <f t="shared" si="1"/>
        <v>2074.5537410836741</v>
      </c>
      <c r="F11" s="23">
        <f t="shared" si="1"/>
        <v>2246.7283715082608</v>
      </c>
      <c r="G11" s="23">
        <f t="shared" si="1"/>
        <v>2430.9812772446139</v>
      </c>
      <c r="H11" s="23">
        <f t="shared" si="1"/>
        <v>2601.3966070635652</v>
      </c>
      <c r="I11" s="23">
        <f t="shared" si="1"/>
        <v>2772.1502639220621</v>
      </c>
      <c r="J11" s="23">
        <f t="shared" si="1"/>
        <v>2947.6404993341926</v>
      </c>
      <c r="K11" s="23">
        <f t="shared" si="1"/>
        <v>3142.7537030399485</v>
      </c>
      <c r="L11" s="23">
        <f t="shared" si="1"/>
        <v>3352.3473040382423</v>
      </c>
      <c r="M11" s="23">
        <f t="shared" si="1"/>
        <v>3571.6847237754396</v>
      </c>
      <c r="N11" s="23">
        <f t="shared" si="1"/>
        <v>3801.51028173854</v>
      </c>
    </row>
    <row r="12" spans="2:16" ht="13.95" customHeight="1" x14ac:dyDescent="0.3">
      <c r="B12" s="8" t="s">
        <v>30</v>
      </c>
      <c r="C12" s="23">
        <f t="shared" ref="C12:N12" si="2">C8*$E$10</f>
        <v>995.79797549358716</v>
      </c>
      <c r="D12" s="23">
        <f t="shared" si="2"/>
        <v>1228.4654805888679</v>
      </c>
      <c r="E12" s="23">
        <f t="shared" si="2"/>
        <v>1453.249965662744</v>
      </c>
      <c r="F12" s="23">
        <f t="shared" si="2"/>
        <v>1591.1858996853498</v>
      </c>
      <c r="G12" s="23">
        <f t="shared" si="2"/>
        <v>1780.7167072386089</v>
      </c>
      <c r="H12" s="23">
        <f t="shared" si="2"/>
        <v>1969.2325336732322</v>
      </c>
      <c r="I12" s="23">
        <f t="shared" si="2"/>
        <v>2098.2366338518427</v>
      </c>
      <c r="J12" s="23">
        <f t="shared" si="2"/>
        <v>2230.8608333535881</v>
      </c>
      <c r="K12" s="23">
        <f t="shared" si="2"/>
        <v>2456.7279649540087</v>
      </c>
      <c r="L12" s="23">
        <f t="shared" si="2"/>
        <v>2619.7677653108735</v>
      </c>
      <c r="M12" s="23">
        <f t="shared" si="2"/>
        <v>2826.1810921374413</v>
      </c>
      <c r="N12" s="23">
        <f t="shared" si="2"/>
        <v>3045.2816829469571</v>
      </c>
    </row>
    <row r="15" spans="2:16" ht="13.95" customHeight="1" x14ac:dyDescent="0.3">
      <c r="B15" s="52" t="s">
        <v>31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</row>
    <row r="16" spans="2:16" ht="13.95" customHeight="1" x14ac:dyDescent="0.3">
      <c r="B16" s="6" t="s">
        <v>7</v>
      </c>
      <c r="C16" s="7" t="s">
        <v>8</v>
      </c>
      <c r="D16" s="7" t="s">
        <v>9</v>
      </c>
      <c r="E16" s="7" t="s">
        <v>10</v>
      </c>
      <c r="F16" s="7" t="s">
        <v>11</v>
      </c>
      <c r="G16" s="7" t="s">
        <v>12</v>
      </c>
      <c r="H16" s="7" t="s">
        <v>13</v>
      </c>
      <c r="I16" s="7" t="s">
        <v>14</v>
      </c>
      <c r="J16" s="7" t="s">
        <v>15</v>
      </c>
      <c r="K16" s="7" t="s">
        <v>16</v>
      </c>
      <c r="L16" s="7" t="s">
        <v>17</v>
      </c>
      <c r="M16" s="7" t="s">
        <v>18</v>
      </c>
      <c r="N16" s="7" t="s">
        <v>19</v>
      </c>
      <c r="P16" s="7" t="s">
        <v>20</v>
      </c>
    </row>
    <row r="17" spans="2:16" ht="13.95" customHeight="1" x14ac:dyDescent="0.3">
      <c r="B17" s="8" t="s">
        <v>21</v>
      </c>
      <c r="C17" s="41">
        <v>28221</v>
      </c>
      <c r="D17" s="41">
        <v>31178</v>
      </c>
      <c r="E17" s="41">
        <v>34548</v>
      </c>
      <c r="F17" s="41">
        <v>37971</v>
      </c>
      <c r="G17" s="41">
        <v>41533</v>
      </c>
      <c r="H17" s="41">
        <v>44699</v>
      </c>
      <c r="I17" s="41">
        <v>47964</v>
      </c>
      <c r="J17" s="41">
        <v>51319</v>
      </c>
      <c r="K17" s="41">
        <v>54749</v>
      </c>
      <c r="L17" s="41">
        <v>58243</v>
      </c>
      <c r="M17" s="41">
        <v>61788</v>
      </c>
      <c r="N17" s="41">
        <v>65372</v>
      </c>
      <c r="P17" s="2" t="s">
        <v>32</v>
      </c>
    </row>
    <row r="18" spans="2:16" ht="13.95" customHeight="1" x14ac:dyDescent="0.3">
      <c r="B18" s="8" t="s">
        <v>23</v>
      </c>
      <c r="C18" s="41">
        <v>13727</v>
      </c>
      <c r="D18" s="41">
        <v>15095</v>
      </c>
      <c r="E18" s="41">
        <v>16726</v>
      </c>
      <c r="F18" s="41">
        <v>19903</v>
      </c>
      <c r="G18" s="41">
        <v>23431</v>
      </c>
      <c r="H18" s="41">
        <v>26111</v>
      </c>
      <c r="I18" s="41">
        <v>28978</v>
      </c>
      <c r="J18" s="41">
        <v>31517</v>
      </c>
      <c r="K18" s="41">
        <v>34171</v>
      </c>
      <c r="L18" s="41">
        <v>36934</v>
      </c>
      <c r="M18" s="41">
        <v>39801</v>
      </c>
      <c r="N18" s="41">
        <v>42763</v>
      </c>
      <c r="P18" s="2" t="s">
        <v>33</v>
      </c>
    </row>
    <row r="19" spans="2:16" ht="13.95" customHeight="1" x14ac:dyDescent="0.3">
      <c r="B19" s="8" t="s">
        <v>25</v>
      </c>
      <c r="C19" s="11">
        <f t="shared" ref="C19:N19" si="3">C18/C17</f>
        <v>0.48641082881542114</v>
      </c>
      <c r="D19" s="11">
        <f t="shared" si="3"/>
        <v>0.48415549425877219</v>
      </c>
      <c r="E19" s="11">
        <f t="shared" si="3"/>
        <v>0.48413801088340858</v>
      </c>
      <c r="F19" s="11">
        <f t="shared" si="3"/>
        <v>0.52416317716151795</v>
      </c>
      <c r="G19" s="11">
        <f t="shared" si="3"/>
        <v>0.56415380540774807</v>
      </c>
      <c r="H19" s="11">
        <f t="shared" si="3"/>
        <v>0.58415177073312607</v>
      </c>
      <c r="I19" s="11">
        <f t="shared" si="3"/>
        <v>0.60416145442415148</v>
      </c>
      <c r="J19" s="11">
        <f t="shared" si="3"/>
        <v>0.61413901284124783</v>
      </c>
      <c r="K19" s="11">
        <f t="shared" si="3"/>
        <v>0.62413925368499878</v>
      </c>
      <c r="L19" s="11">
        <f t="shared" si="3"/>
        <v>0.63413629105643599</v>
      </c>
      <c r="M19" s="11">
        <f t="shared" si="3"/>
        <v>0.64415420469994178</v>
      </c>
      <c r="N19" s="11">
        <f t="shared" si="3"/>
        <v>0.65414856513492015</v>
      </c>
      <c r="P19" s="2" t="s">
        <v>26</v>
      </c>
    </row>
    <row r="20" spans="2:16" ht="13.95" customHeight="1" x14ac:dyDescent="0.3">
      <c r="B20" s="37" t="s">
        <v>27</v>
      </c>
      <c r="C20" s="38">
        <v>10039.70324411161</v>
      </c>
      <c r="D20" s="39">
        <v>226447.75534606999</v>
      </c>
      <c r="E20" s="40">
        <f>C20/D20</f>
        <v>4.4335627124094827E-2</v>
      </c>
      <c r="P20" s="2" t="s">
        <v>28</v>
      </c>
    </row>
    <row r="21" spans="2:16" ht="13.95" customHeight="1" x14ac:dyDescent="0.3">
      <c r="B21" s="8" t="s">
        <v>29</v>
      </c>
      <c r="C21" s="23">
        <f t="shared" ref="C21:N21" si="4">C17*$E$20</f>
        <v>1251.19573306908</v>
      </c>
      <c r="D21" s="23">
        <f t="shared" si="4"/>
        <v>1382.2961824750284</v>
      </c>
      <c r="E21" s="23">
        <f t="shared" si="4"/>
        <v>1531.7072458832281</v>
      </c>
      <c r="F21" s="23">
        <f t="shared" si="4"/>
        <v>1683.4680975290046</v>
      </c>
      <c r="G21" s="23">
        <f t="shared" si="4"/>
        <v>1841.3916013450305</v>
      </c>
      <c r="H21" s="23">
        <f t="shared" si="4"/>
        <v>1981.7581968199147</v>
      </c>
      <c r="I21" s="23">
        <f t="shared" si="4"/>
        <v>2126.5140193800844</v>
      </c>
      <c r="J21" s="23">
        <f t="shared" si="4"/>
        <v>2275.2600483814226</v>
      </c>
      <c r="K21" s="23">
        <f t="shared" si="4"/>
        <v>2427.3312494170677</v>
      </c>
      <c r="L21" s="23">
        <f t="shared" si="4"/>
        <v>2582.2399305886552</v>
      </c>
      <c r="M21" s="23">
        <f t="shared" si="4"/>
        <v>2739.4097287435711</v>
      </c>
      <c r="N21" s="23">
        <f t="shared" si="4"/>
        <v>2898.3086163563271</v>
      </c>
    </row>
    <row r="22" spans="2:16" ht="13.95" customHeight="1" x14ac:dyDescent="0.3">
      <c r="B22" s="8" t="s">
        <v>30</v>
      </c>
      <c r="C22" s="23">
        <f t="shared" ref="C22:N22" si="5">C18*$E$20</f>
        <v>608.59515353244967</v>
      </c>
      <c r="D22" s="23">
        <f t="shared" si="5"/>
        <v>669.24629143821141</v>
      </c>
      <c r="E22" s="23">
        <f t="shared" si="5"/>
        <v>741.55769927761003</v>
      </c>
      <c r="F22" s="23">
        <f t="shared" si="5"/>
        <v>882.41198665085938</v>
      </c>
      <c r="G22" s="23">
        <f t="shared" si="5"/>
        <v>1038.8280791446659</v>
      </c>
      <c r="H22" s="23">
        <f t="shared" si="5"/>
        <v>1157.6475598372401</v>
      </c>
      <c r="I22" s="23">
        <f t="shared" si="5"/>
        <v>1284.7578028020198</v>
      </c>
      <c r="J22" s="23">
        <f t="shared" si="5"/>
        <v>1397.3259600700967</v>
      </c>
      <c r="K22" s="23">
        <f t="shared" si="5"/>
        <v>1514.9927144574444</v>
      </c>
      <c r="L22" s="23">
        <f t="shared" si="5"/>
        <v>1637.4920522013183</v>
      </c>
      <c r="M22" s="23">
        <f t="shared" si="5"/>
        <v>1764.6022951660982</v>
      </c>
      <c r="N22" s="23">
        <f t="shared" si="5"/>
        <v>1895.9244227076672</v>
      </c>
    </row>
    <row r="25" spans="2:16" ht="13.95" customHeight="1" x14ac:dyDescent="0.3">
      <c r="B25" s="52" t="s">
        <v>34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</row>
    <row r="26" spans="2:16" ht="13.95" customHeight="1" x14ac:dyDescent="0.3">
      <c r="B26" s="6" t="s">
        <v>7</v>
      </c>
      <c r="C26" s="7" t="s">
        <v>8</v>
      </c>
      <c r="D26" s="7" t="s">
        <v>9</v>
      </c>
      <c r="E26" s="7" t="s">
        <v>10</v>
      </c>
      <c r="F26" s="7" t="s">
        <v>11</v>
      </c>
      <c r="G26" s="7" t="s">
        <v>12</v>
      </c>
      <c r="H26" s="7" t="s">
        <v>13</v>
      </c>
      <c r="I26" s="7" t="s">
        <v>14</v>
      </c>
      <c r="J26" s="7" t="s">
        <v>15</v>
      </c>
      <c r="K26" s="7" t="s">
        <v>16</v>
      </c>
      <c r="L26" s="7" t="s">
        <v>17</v>
      </c>
      <c r="M26" s="7" t="s">
        <v>18</v>
      </c>
      <c r="N26" s="7" t="s">
        <v>19</v>
      </c>
      <c r="P26" s="7" t="s">
        <v>20</v>
      </c>
    </row>
    <row r="27" spans="2:16" ht="13.95" customHeight="1" x14ac:dyDescent="0.3">
      <c r="B27" s="8" t="s">
        <v>21</v>
      </c>
      <c r="C27" s="41">
        <v>6537</v>
      </c>
      <c r="D27" s="41">
        <v>7215</v>
      </c>
      <c r="E27" s="41">
        <v>7971</v>
      </c>
      <c r="F27" s="41">
        <v>8876</v>
      </c>
      <c r="G27" s="41">
        <v>9881</v>
      </c>
      <c r="H27" s="41">
        <v>10905</v>
      </c>
      <c r="I27" s="41">
        <v>11848</v>
      </c>
      <c r="J27" s="41">
        <v>13062</v>
      </c>
      <c r="K27" s="36">
        <f>J27*(1+gAn)</f>
        <v>13845.720000000001</v>
      </c>
      <c r="L27" s="36">
        <f>K27*(1+gAn)</f>
        <v>14676.463200000002</v>
      </c>
      <c r="M27" s="36">
        <f>L27*(1+gAn)</f>
        <v>15557.050992000002</v>
      </c>
      <c r="N27" s="36">
        <f>M27*(1+gAn)</f>
        <v>16490.474051520003</v>
      </c>
      <c r="P27" s="2" t="s">
        <v>35</v>
      </c>
    </row>
    <row r="28" spans="2:16" ht="13.95" customHeight="1" x14ac:dyDescent="0.3">
      <c r="B28" s="8" t="s">
        <v>23</v>
      </c>
      <c r="C28" s="41">
        <v>6203</v>
      </c>
      <c r="D28" s="41">
        <v>6859</v>
      </c>
      <c r="E28" s="41">
        <v>7612</v>
      </c>
      <c r="F28" s="41">
        <v>8513</v>
      </c>
      <c r="G28" s="41">
        <v>9413</v>
      </c>
      <c r="H28" s="41">
        <v>10358</v>
      </c>
      <c r="I28" s="41">
        <v>11364</v>
      </c>
      <c r="J28" s="41">
        <v>12526</v>
      </c>
      <c r="K28" s="36">
        <f>K27*J29</f>
        <v>13277.560000000001</v>
      </c>
      <c r="L28" s="36">
        <f>L27*J29</f>
        <v>14074.213600000001</v>
      </c>
      <c r="M28" s="36">
        <f>M27*J29</f>
        <v>14918.666416000002</v>
      </c>
      <c r="N28" s="36">
        <f>N27*J29</f>
        <v>15813.786400960002</v>
      </c>
      <c r="P28" s="2" t="s">
        <v>36</v>
      </c>
    </row>
    <row r="29" spans="2:16" ht="13.95" customHeight="1" x14ac:dyDescent="0.3">
      <c r="B29" s="8" t="s">
        <v>25</v>
      </c>
      <c r="C29" s="11">
        <f t="shared" ref="C29:N29" si="6">C28/C27</f>
        <v>0.94890622609759834</v>
      </c>
      <c r="D29" s="11">
        <f t="shared" si="6"/>
        <v>0.95065835065835069</v>
      </c>
      <c r="E29" s="11">
        <f t="shared" si="6"/>
        <v>0.954961736294066</v>
      </c>
      <c r="F29" s="11">
        <f t="shared" si="6"/>
        <v>0.95910319963947721</v>
      </c>
      <c r="G29" s="11">
        <f t="shared" si="6"/>
        <v>0.95263637283675739</v>
      </c>
      <c r="H29" s="11">
        <f t="shared" si="6"/>
        <v>0.94983952315451625</v>
      </c>
      <c r="I29" s="11">
        <f t="shared" si="6"/>
        <v>0.95914922349763676</v>
      </c>
      <c r="J29" s="11">
        <f t="shared" si="6"/>
        <v>0.95896493645689784</v>
      </c>
      <c r="K29" s="11">
        <f t="shared" si="6"/>
        <v>0.95896493645689784</v>
      </c>
      <c r="L29" s="11">
        <f t="shared" si="6"/>
        <v>0.95896493645689784</v>
      </c>
      <c r="M29" s="11">
        <f t="shared" si="6"/>
        <v>0.95896493645689784</v>
      </c>
      <c r="N29" s="11">
        <f t="shared" si="6"/>
        <v>0.95896493645689784</v>
      </c>
      <c r="P29" s="2" t="s">
        <v>26</v>
      </c>
    </row>
    <row r="30" spans="2:16" ht="13.95" customHeight="1" x14ac:dyDescent="0.3">
      <c r="B30" s="37" t="s">
        <v>27</v>
      </c>
      <c r="C30" s="38">
        <v>8337.4034514344039</v>
      </c>
      <c r="D30" s="39">
        <v>112688.345</v>
      </c>
      <c r="E30" s="40">
        <f>C30/D30</f>
        <v>7.398638653744008E-2</v>
      </c>
      <c r="P30" s="2" t="s">
        <v>28</v>
      </c>
    </row>
    <row r="31" spans="2:16" ht="13.95" customHeight="1" x14ac:dyDescent="0.3">
      <c r="B31" s="8" t="s">
        <v>29</v>
      </c>
      <c r="C31" s="23">
        <f t="shared" ref="C31:N31" si="7">C27*$E$30</f>
        <v>483.64900879524578</v>
      </c>
      <c r="D31" s="23">
        <f t="shared" si="7"/>
        <v>533.81177886763021</v>
      </c>
      <c r="E31" s="23">
        <f t="shared" si="7"/>
        <v>589.74548708993484</v>
      </c>
      <c r="F31" s="23">
        <f t="shared" si="7"/>
        <v>656.70316690631819</v>
      </c>
      <c r="G31" s="23">
        <f t="shared" si="7"/>
        <v>731.05948537644542</v>
      </c>
      <c r="H31" s="23">
        <f t="shared" si="7"/>
        <v>806.82154519078404</v>
      </c>
      <c r="I31" s="23">
        <f t="shared" si="7"/>
        <v>876.59070769559003</v>
      </c>
      <c r="J31" s="23">
        <f t="shared" si="7"/>
        <v>966.41018095204231</v>
      </c>
      <c r="K31" s="23">
        <f t="shared" si="7"/>
        <v>1024.3947918091649</v>
      </c>
      <c r="L31" s="23">
        <f t="shared" si="7"/>
        <v>1085.8584793177149</v>
      </c>
      <c r="M31" s="23">
        <f t="shared" si="7"/>
        <v>1151.0099880767777</v>
      </c>
      <c r="N31" s="23">
        <f t="shared" si="7"/>
        <v>1220.0705873613845</v>
      </c>
    </row>
    <row r="32" spans="2:16" ht="13.95" customHeight="1" x14ac:dyDescent="0.3">
      <c r="B32" s="8" t="s">
        <v>30</v>
      </c>
      <c r="C32" s="23">
        <f t="shared" ref="C32:N32" si="8">C28*$E$30</f>
        <v>458.93755569174084</v>
      </c>
      <c r="D32" s="23">
        <f t="shared" si="8"/>
        <v>507.47262526030153</v>
      </c>
      <c r="E32" s="23">
        <f t="shared" si="8"/>
        <v>563.1843743229939</v>
      </c>
      <c r="F32" s="23">
        <f t="shared" si="8"/>
        <v>629.84610859322743</v>
      </c>
      <c r="G32" s="23">
        <f t="shared" si="8"/>
        <v>696.43385647692344</v>
      </c>
      <c r="H32" s="23">
        <f t="shared" si="8"/>
        <v>766.35099175480434</v>
      </c>
      <c r="I32" s="23">
        <f t="shared" si="8"/>
        <v>840.78129661146909</v>
      </c>
      <c r="J32" s="23">
        <f t="shared" si="8"/>
        <v>926.75347776797446</v>
      </c>
      <c r="K32" s="23">
        <f t="shared" si="8"/>
        <v>982.35868643405297</v>
      </c>
      <c r="L32" s="23">
        <f t="shared" si="8"/>
        <v>1041.3002076200962</v>
      </c>
      <c r="M32" s="23">
        <f t="shared" si="8"/>
        <v>1103.778220077302</v>
      </c>
      <c r="N32" s="23">
        <f t="shared" si="8"/>
        <v>1170.0049132819402</v>
      </c>
    </row>
    <row r="35" spans="2:16" ht="13.95" customHeight="1" x14ac:dyDescent="0.3">
      <c r="B35" s="52" t="s">
        <v>37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</row>
    <row r="36" spans="2:16" ht="13.95" customHeight="1" x14ac:dyDescent="0.3">
      <c r="B36" s="6" t="s">
        <v>7</v>
      </c>
      <c r="C36" s="7" t="s">
        <v>8</v>
      </c>
      <c r="D36" s="7" t="s">
        <v>9</v>
      </c>
      <c r="E36" s="7" t="s">
        <v>10</v>
      </c>
      <c r="F36" s="7" t="s">
        <v>11</v>
      </c>
      <c r="G36" s="7" t="s">
        <v>12</v>
      </c>
      <c r="H36" s="7" t="s">
        <v>13</v>
      </c>
      <c r="I36" s="7" t="s">
        <v>14</v>
      </c>
      <c r="J36" s="7" t="s">
        <v>15</v>
      </c>
      <c r="K36" s="7" t="s">
        <v>16</v>
      </c>
      <c r="L36" s="7" t="s">
        <v>17</v>
      </c>
      <c r="M36" s="7" t="s">
        <v>18</v>
      </c>
      <c r="N36" s="7" t="s">
        <v>19</v>
      </c>
      <c r="P36" s="7" t="s">
        <v>20</v>
      </c>
    </row>
    <row r="37" spans="2:16" ht="13.95" customHeight="1" x14ac:dyDescent="0.3">
      <c r="B37" s="8" t="s">
        <v>21</v>
      </c>
      <c r="C37" s="41">
        <v>19103</v>
      </c>
      <c r="D37" s="41">
        <v>21961</v>
      </c>
      <c r="E37" s="41">
        <v>25043</v>
      </c>
      <c r="F37" s="41">
        <v>28704</v>
      </c>
      <c r="G37" s="41">
        <v>32446</v>
      </c>
      <c r="H37" s="41">
        <v>36374</v>
      </c>
      <c r="I37" s="41">
        <v>40448</v>
      </c>
      <c r="J37" s="41">
        <v>44253</v>
      </c>
      <c r="K37" s="41">
        <v>48504</v>
      </c>
      <c r="L37" s="41">
        <v>52818</v>
      </c>
      <c r="M37" s="41">
        <v>57507</v>
      </c>
      <c r="N37" s="36">
        <f>M37*(1+gAn)</f>
        <v>60957.420000000006</v>
      </c>
      <c r="P37" s="2" t="s">
        <v>38</v>
      </c>
    </row>
    <row r="38" spans="2:16" ht="13.95" customHeight="1" x14ac:dyDescent="0.3">
      <c r="B38" s="8" t="s">
        <v>23</v>
      </c>
      <c r="C38" s="41">
        <v>6686</v>
      </c>
      <c r="D38" s="41">
        <v>9882</v>
      </c>
      <c r="E38" s="41">
        <v>13774</v>
      </c>
      <c r="F38" s="41">
        <v>17222</v>
      </c>
      <c r="G38" s="41">
        <v>21090</v>
      </c>
      <c r="H38" s="41">
        <v>25462</v>
      </c>
      <c r="I38" s="41">
        <v>30336</v>
      </c>
      <c r="J38" s="41">
        <v>35403</v>
      </c>
      <c r="K38" s="41">
        <v>41228</v>
      </c>
      <c r="L38" s="41">
        <v>47536</v>
      </c>
      <c r="M38" s="41">
        <v>54632</v>
      </c>
      <c r="N38" s="36">
        <f>N37*M39</f>
        <v>57909.920000000006</v>
      </c>
      <c r="P38" s="2" t="s">
        <v>39</v>
      </c>
    </row>
    <row r="39" spans="2:16" ht="13.95" customHeight="1" x14ac:dyDescent="0.3">
      <c r="B39" s="8" t="s">
        <v>25</v>
      </c>
      <c r="C39" s="11">
        <f t="shared" ref="C39:N39" si="9">C38/C37</f>
        <v>0.34999738261006125</v>
      </c>
      <c r="D39" s="11">
        <f t="shared" si="9"/>
        <v>0.44997950912982104</v>
      </c>
      <c r="E39" s="11">
        <f t="shared" si="9"/>
        <v>0.55001397596134649</v>
      </c>
      <c r="F39" s="11">
        <f t="shared" si="9"/>
        <v>0.59998606465997772</v>
      </c>
      <c r="G39" s="11">
        <f t="shared" si="9"/>
        <v>0.65000308204401158</v>
      </c>
      <c r="H39" s="11">
        <f t="shared" si="9"/>
        <v>0.70000549843294657</v>
      </c>
      <c r="I39" s="11">
        <f t="shared" si="9"/>
        <v>0.75</v>
      </c>
      <c r="J39" s="11">
        <f t="shared" si="9"/>
        <v>0.80001355840282018</v>
      </c>
      <c r="K39" s="11">
        <f t="shared" si="9"/>
        <v>0.84999175325746334</v>
      </c>
      <c r="L39" s="11">
        <f t="shared" si="9"/>
        <v>0.89999621341209435</v>
      </c>
      <c r="M39" s="11">
        <f t="shared" si="9"/>
        <v>0.95000608621559113</v>
      </c>
      <c r="N39" s="11">
        <f t="shared" si="9"/>
        <v>0.95000608621559113</v>
      </c>
      <c r="P39" s="2" t="s">
        <v>26</v>
      </c>
    </row>
    <row r="40" spans="2:16" ht="13.95" customHeight="1" x14ac:dyDescent="0.3">
      <c r="B40" s="37" t="s">
        <v>27</v>
      </c>
      <c r="C40" s="38">
        <v>6925.2188861408813</v>
      </c>
      <c r="D40" s="39">
        <v>305584.14447699999</v>
      </c>
      <c r="E40" s="40">
        <f>C40/D40</f>
        <v>2.2662232354997439E-2</v>
      </c>
      <c r="P40" s="2" t="s">
        <v>28</v>
      </c>
    </row>
    <row r="41" spans="2:16" ht="13.95" customHeight="1" x14ac:dyDescent="0.3">
      <c r="B41" s="8" t="s">
        <v>29</v>
      </c>
      <c r="C41" s="23">
        <f t="shared" ref="C41:N41" si="10">C37*$E$40</f>
        <v>432.9166246775161</v>
      </c>
      <c r="D41" s="23">
        <f t="shared" si="10"/>
        <v>497.68528474809875</v>
      </c>
      <c r="E41" s="23">
        <f t="shared" si="10"/>
        <v>567.53028486620087</v>
      </c>
      <c r="F41" s="23">
        <f t="shared" si="10"/>
        <v>650.49671751784649</v>
      </c>
      <c r="G41" s="23">
        <f t="shared" si="10"/>
        <v>735.29879099024686</v>
      </c>
      <c r="H41" s="23">
        <f t="shared" si="10"/>
        <v>824.31603968067679</v>
      </c>
      <c r="I41" s="23">
        <f t="shared" si="10"/>
        <v>916.6419742949364</v>
      </c>
      <c r="J41" s="23">
        <f t="shared" si="10"/>
        <v>1002.8717684057017</v>
      </c>
      <c r="K41" s="23">
        <f t="shared" si="10"/>
        <v>1099.2089181467957</v>
      </c>
      <c r="L41" s="23">
        <f t="shared" si="10"/>
        <v>1196.9737885262548</v>
      </c>
      <c r="M41" s="23">
        <f t="shared" si="10"/>
        <v>1303.2369960388378</v>
      </c>
      <c r="N41" s="23">
        <f t="shared" si="10"/>
        <v>1381.431215801168</v>
      </c>
    </row>
    <row r="42" spans="2:16" ht="13.95" customHeight="1" x14ac:dyDescent="0.3">
      <c r="B42" s="8" t="s">
        <v>30</v>
      </c>
      <c r="C42" s="23">
        <f t="shared" ref="C42:N42" si="11">C38*$E$40</f>
        <v>151.51968552551287</v>
      </c>
      <c r="D42" s="23">
        <f t="shared" si="11"/>
        <v>223.9481801320847</v>
      </c>
      <c r="E42" s="23">
        <f t="shared" si="11"/>
        <v>312.14958845773469</v>
      </c>
      <c r="F42" s="23">
        <f t="shared" si="11"/>
        <v>390.28896561776588</v>
      </c>
      <c r="G42" s="23">
        <f t="shared" si="11"/>
        <v>477.94648036689597</v>
      </c>
      <c r="H42" s="23">
        <f t="shared" si="11"/>
        <v>577.02576022294477</v>
      </c>
      <c r="I42" s="23">
        <f t="shared" si="11"/>
        <v>687.48148072120227</v>
      </c>
      <c r="J42" s="23">
        <f t="shared" si="11"/>
        <v>802.31101206397432</v>
      </c>
      <c r="K42" s="23">
        <f t="shared" si="11"/>
        <v>934.31851553183435</v>
      </c>
      <c r="L42" s="23">
        <f t="shared" si="11"/>
        <v>1077.2718772271583</v>
      </c>
      <c r="M42" s="23">
        <f t="shared" si="11"/>
        <v>1238.08307801822</v>
      </c>
      <c r="N42" s="23">
        <f t="shared" si="11"/>
        <v>1312.3680626993134</v>
      </c>
    </row>
    <row r="45" spans="2:16" ht="13.95" customHeight="1" x14ac:dyDescent="0.3">
      <c r="B45" s="52" t="s">
        <v>40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</row>
    <row r="46" spans="2:16" ht="13.95" customHeight="1" x14ac:dyDescent="0.3">
      <c r="B46" s="6" t="s">
        <v>7</v>
      </c>
      <c r="C46" s="7" t="s">
        <v>8</v>
      </c>
      <c r="D46" s="7" t="s">
        <v>9</v>
      </c>
      <c r="E46" s="7" t="s">
        <v>10</v>
      </c>
      <c r="F46" s="7" t="s">
        <v>11</v>
      </c>
      <c r="G46" s="7" t="s">
        <v>12</v>
      </c>
      <c r="H46" s="7" t="s">
        <v>13</v>
      </c>
      <c r="I46" s="7" t="s">
        <v>14</v>
      </c>
      <c r="J46" s="7" t="s">
        <v>15</v>
      </c>
      <c r="K46" s="7" t="s">
        <v>16</v>
      </c>
      <c r="L46" s="7" t="s">
        <v>17</v>
      </c>
      <c r="M46" s="7" t="s">
        <v>18</v>
      </c>
      <c r="N46" s="7" t="s">
        <v>19</v>
      </c>
      <c r="P46" s="7" t="s">
        <v>20</v>
      </c>
    </row>
    <row r="47" spans="2:16" ht="13.95" customHeight="1" x14ac:dyDescent="0.3">
      <c r="B47" s="8" t="s">
        <v>21</v>
      </c>
      <c r="C47" s="36">
        <f t="shared" ref="C47:N47" si="12">C48/C49</f>
        <v>16916.666666666668</v>
      </c>
      <c r="D47" s="36">
        <f t="shared" si="12"/>
        <v>23713.333333333336</v>
      </c>
      <c r="E47" s="36">
        <f t="shared" si="12"/>
        <v>29783.333333333336</v>
      </c>
      <c r="F47" s="36">
        <f t="shared" si="12"/>
        <v>33300</v>
      </c>
      <c r="G47" s="36">
        <f t="shared" si="12"/>
        <v>36153.333333333336</v>
      </c>
      <c r="H47" s="36">
        <f t="shared" si="12"/>
        <v>39662.857142857145</v>
      </c>
      <c r="I47" s="36">
        <f t="shared" si="12"/>
        <v>42732.5</v>
      </c>
      <c r="J47" s="36">
        <f t="shared" si="12"/>
        <v>45604.444444444445</v>
      </c>
      <c r="K47" s="36">
        <f t="shared" si="12"/>
        <v>48112</v>
      </c>
      <c r="L47" s="36">
        <f t="shared" si="12"/>
        <v>50492.727272727272</v>
      </c>
      <c r="M47" s="36">
        <f t="shared" si="12"/>
        <v>52981.818181818177</v>
      </c>
      <c r="N47" s="36">
        <f t="shared" si="12"/>
        <v>55570.909090909088</v>
      </c>
      <c r="P47" s="2" t="s">
        <v>41</v>
      </c>
    </row>
    <row r="48" spans="2:16" ht="13.95" customHeight="1" x14ac:dyDescent="0.3">
      <c r="B48" s="8" t="s">
        <v>23</v>
      </c>
      <c r="C48" s="41">
        <v>4060</v>
      </c>
      <c r="D48" s="41">
        <v>7114</v>
      </c>
      <c r="E48" s="41">
        <v>8935</v>
      </c>
      <c r="F48" s="41">
        <v>9990</v>
      </c>
      <c r="G48" s="41">
        <v>10846</v>
      </c>
      <c r="H48" s="41">
        <v>13882</v>
      </c>
      <c r="I48" s="41">
        <v>17093</v>
      </c>
      <c r="J48" s="41">
        <v>20522</v>
      </c>
      <c r="K48" s="41">
        <v>24056</v>
      </c>
      <c r="L48" s="41">
        <v>27771</v>
      </c>
      <c r="M48" s="41">
        <v>29140</v>
      </c>
      <c r="N48" s="41">
        <v>30564</v>
      </c>
      <c r="P48" s="2" t="s">
        <v>42</v>
      </c>
    </row>
    <row r="49" spans="2:16" ht="13.95" customHeight="1" x14ac:dyDescent="0.3">
      <c r="B49" s="8" t="s">
        <v>25</v>
      </c>
      <c r="C49" s="34">
        <v>0.24</v>
      </c>
      <c r="D49" s="34">
        <v>0.3</v>
      </c>
      <c r="E49" s="34">
        <v>0.3</v>
      </c>
      <c r="F49" s="34">
        <v>0.3</v>
      </c>
      <c r="G49" s="34">
        <v>0.3</v>
      </c>
      <c r="H49" s="34">
        <v>0.35</v>
      </c>
      <c r="I49" s="34">
        <v>0.4</v>
      </c>
      <c r="J49" s="34">
        <v>0.45</v>
      </c>
      <c r="K49" s="34">
        <v>0.5</v>
      </c>
      <c r="L49" s="34">
        <v>0.55000000000000004</v>
      </c>
      <c r="M49" s="34">
        <v>0.55000000000000004</v>
      </c>
      <c r="N49" s="34">
        <v>0.55000000000000004</v>
      </c>
      <c r="P49" s="2" t="s">
        <v>43</v>
      </c>
    </row>
    <row r="50" spans="2:16" ht="13.95" customHeight="1" x14ac:dyDescent="0.3">
      <c r="B50" s="37" t="s">
        <v>27</v>
      </c>
      <c r="C50" s="38">
        <v>5397.3180436384264</v>
      </c>
      <c r="D50" s="39">
        <v>138571.5670872</v>
      </c>
      <c r="E50" s="40">
        <f>C50/D50</f>
        <v>3.8949678906654885E-2</v>
      </c>
      <c r="P50" s="2" t="s">
        <v>28</v>
      </c>
    </row>
    <row r="51" spans="2:16" ht="13.95" customHeight="1" x14ac:dyDescent="0.3">
      <c r="B51" s="8" t="s">
        <v>29</v>
      </c>
      <c r="C51" s="23">
        <f t="shared" ref="C51:N51" si="13">C47*$E$50</f>
        <v>658.89873483757856</v>
      </c>
      <c r="D51" s="23">
        <f t="shared" si="13"/>
        <v>923.62671913980955</v>
      </c>
      <c r="E51" s="23">
        <f t="shared" si="13"/>
        <v>1160.0512701032048</v>
      </c>
      <c r="F51" s="23">
        <f t="shared" si="13"/>
        <v>1297.0243075916076</v>
      </c>
      <c r="G51" s="23">
        <f t="shared" si="13"/>
        <v>1408.1607247385964</v>
      </c>
      <c r="H51" s="23">
        <f t="shared" si="13"/>
        <v>1544.855550234809</v>
      </c>
      <c r="I51" s="23">
        <f t="shared" si="13"/>
        <v>1664.41715387863</v>
      </c>
      <c r="J51" s="23">
        <f t="shared" si="13"/>
        <v>1776.2784678274922</v>
      </c>
      <c r="K51" s="23">
        <f t="shared" si="13"/>
        <v>1873.9469515569799</v>
      </c>
      <c r="L51" s="23">
        <f t="shared" si="13"/>
        <v>1966.6755143940231</v>
      </c>
      <c r="M51" s="23">
        <f t="shared" si="13"/>
        <v>2063.6248060725875</v>
      </c>
      <c r="N51" s="23">
        <f t="shared" si="13"/>
        <v>2164.4690656418179</v>
      </c>
    </row>
    <row r="52" spans="2:16" ht="13.95" customHeight="1" x14ac:dyDescent="0.3">
      <c r="B52" s="8" t="s">
        <v>30</v>
      </c>
      <c r="C52" s="23">
        <f t="shared" ref="C52:N52" si="14">C48*$E$50</f>
        <v>158.13569636101883</v>
      </c>
      <c r="D52" s="23">
        <f t="shared" si="14"/>
        <v>277.08801574194285</v>
      </c>
      <c r="E52" s="23">
        <f t="shared" si="14"/>
        <v>348.01538103096141</v>
      </c>
      <c r="F52" s="23">
        <f t="shared" si="14"/>
        <v>389.10729227748232</v>
      </c>
      <c r="G52" s="23">
        <f t="shared" si="14"/>
        <v>422.44821742157887</v>
      </c>
      <c r="H52" s="23">
        <f t="shared" si="14"/>
        <v>540.69944258218311</v>
      </c>
      <c r="I52" s="23">
        <f t="shared" si="14"/>
        <v>665.76686155145194</v>
      </c>
      <c r="J52" s="23">
        <f t="shared" si="14"/>
        <v>799.32531052237152</v>
      </c>
      <c r="K52" s="23">
        <f t="shared" si="14"/>
        <v>936.97347577848996</v>
      </c>
      <c r="L52" s="23">
        <f t="shared" si="14"/>
        <v>1081.6715329167127</v>
      </c>
      <c r="M52" s="23">
        <f t="shared" si="14"/>
        <v>1134.9936433399234</v>
      </c>
      <c r="N52" s="23">
        <f t="shared" si="14"/>
        <v>1190.4579861029999</v>
      </c>
    </row>
    <row r="55" spans="2:16" ht="13.95" customHeight="1" x14ac:dyDescent="0.3">
      <c r="B55" s="52" t="s">
        <v>44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</row>
    <row r="56" spans="2:16" ht="13.95" customHeight="1" x14ac:dyDescent="0.3">
      <c r="B56" s="6" t="s">
        <v>7</v>
      </c>
      <c r="C56" s="7" t="s">
        <v>8</v>
      </c>
      <c r="D56" s="7" t="s">
        <v>9</v>
      </c>
      <c r="E56" s="7" t="s">
        <v>10</v>
      </c>
      <c r="F56" s="7" t="s">
        <v>11</v>
      </c>
      <c r="G56" s="7" t="s">
        <v>12</v>
      </c>
      <c r="H56" s="7" t="s">
        <v>13</v>
      </c>
      <c r="I56" s="7" t="s">
        <v>14</v>
      </c>
      <c r="J56" s="7" t="s">
        <v>15</v>
      </c>
      <c r="K56" s="7" t="s">
        <v>16</v>
      </c>
      <c r="L56" s="7" t="s">
        <v>17</v>
      </c>
      <c r="M56" s="7" t="s">
        <v>18</v>
      </c>
      <c r="N56" s="7" t="s">
        <v>19</v>
      </c>
      <c r="P56" s="7" t="s">
        <v>20</v>
      </c>
    </row>
    <row r="57" spans="2:16" ht="13.95" customHeight="1" x14ac:dyDescent="0.3">
      <c r="B57" s="8" t="s">
        <v>21</v>
      </c>
      <c r="C57" s="41">
        <v>4565.5379999999996</v>
      </c>
      <c r="D57" s="41">
        <v>4903.6729999999998</v>
      </c>
      <c r="E57" s="41">
        <v>5256.8029999999999</v>
      </c>
      <c r="F57" s="41">
        <v>5652.2529999999997</v>
      </c>
      <c r="G57" s="41">
        <v>6018.7139999999999</v>
      </c>
      <c r="H57" s="41">
        <v>6421.6580000000004</v>
      </c>
      <c r="I57" s="41">
        <v>6858</v>
      </c>
      <c r="J57" s="41">
        <v>7330.5460000000003</v>
      </c>
      <c r="K57" s="41">
        <v>7842.3429999999998</v>
      </c>
      <c r="L57" s="41">
        <v>8396.7090000000007</v>
      </c>
      <c r="M57" s="41">
        <v>8997.2530000000006</v>
      </c>
      <c r="N57" s="36">
        <f>M57*(1+gAn)</f>
        <v>9537.0881800000006</v>
      </c>
      <c r="P57" s="2" t="s">
        <v>45</v>
      </c>
    </row>
    <row r="58" spans="2:16" ht="13.95" customHeight="1" x14ac:dyDescent="0.3">
      <c r="B58" s="8" t="s">
        <v>23</v>
      </c>
      <c r="C58" s="41">
        <v>4208</v>
      </c>
      <c r="D58" s="41">
        <v>4520</v>
      </c>
      <c r="E58" s="41">
        <v>4845</v>
      </c>
      <c r="F58" s="41">
        <v>5210</v>
      </c>
      <c r="G58" s="41">
        <v>5547</v>
      </c>
      <c r="H58" s="41">
        <v>5919</v>
      </c>
      <c r="I58" s="41">
        <v>6321</v>
      </c>
      <c r="J58" s="41">
        <v>6756</v>
      </c>
      <c r="K58" s="41">
        <v>7228</v>
      </c>
      <c r="L58" s="41">
        <v>7739</v>
      </c>
      <c r="M58" s="41">
        <v>8293</v>
      </c>
      <c r="N58" s="36">
        <f>N57*M59</f>
        <v>8790.58</v>
      </c>
      <c r="P58" s="2" t="s">
        <v>46</v>
      </c>
    </row>
    <row r="59" spans="2:16" ht="13.95" customHeight="1" x14ac:dyDescent="0.3">
      <c r="B59" s="8" t="s">
        <v>25</v>
      </c>
      <c r="C59" s="11">
        <f t="shared" ref="C59:N59" si="15">C58/C57</f>
        <v>0.92168765214526749</v>
      </c>
      <c r="D59" s="11">
        <f t="shared" si="15"/>
        <v>0.92175803729163841</v>
      </c>
      <c r="E59" s="11">
        <f t="shared" si="15"/>
        <v>0.92166284336696658</v>
      </c>
      <c r="F59" s="11">
        <f t="shared" si="15"/>
        <v>0.92175633327099837</v>
      </c>
      <c r="G59" s="11">
        <f t="shared" si="15"/>
        <v>0.92162545022076148</v>
      </c>
      <c r="H59" s="11">
        <f t="shared" si="15"/>
        <v>0.92172457642558969</v>
      </c>
      <c r="I59" s="11">
        <f t="shared" si="15"/>
        <v>0.92169728783902016</v>
      </c>
      <c r="J59" s="11">
        <f t="shared" si="15"/>
        <v>0.92162302780720562</v>
      </c>
      <c r="K59" s="11">
        <f t="shared" si="15"/>
        <v>0.92166333454173077</v>
      </c>
      <c r="L59" s="11">
        <f t="shared" si="15"/>
        <v>0.92167062119218368</v>
      </c>
      <c r="M59" s="11">
        <f t="shared" si="15"/>
        <v>0.92172577563396285</v>
      </c>
      <c r="N59" s="11">
        <f t="shared" si="15"/>
        <v>0.92172577563396285</v>
      </c>
      <c r="P59" s="2" t="s">
        <v>26</v>
      </c>
    </row>
    <row r="60" spans="2:16" ht="13.95" customHeight="1" x14ac:dyDescent="0.3">
      <c r="B60" s="37" t="s">
        <v>27</v>
      </c>
      <c r="C60" s="38">
        <v>895.11912301518612</v>
      </c>
      <c r="D60" s="39">
        <v>63090</v>
      </c>
      <c r="E60" s="40">
        <f>C60/D60</f>
        <v>1.4187971517121352E-2</v>
      </c>
      <c r="P60" s="2" t="s">
        <v>28</v>
      </c>
    </row>
    <row r="61" spans="2:16" ht="13.95" customHeight="1" x14ac:dyDescent="0.3">
      <c r="B61" s="8" t="s">
        <v>29</v>
      </c>
      <c r="C61" s="23">
        <f t="shared" ref="C61:N61" si="16">C57*$E$60</f>
        <v>64.775723104335171</v>
      </c>
      <c r="D61" s="23">
        <f t="shared" si="16"/>
        <v>69.573172853277001</v>
      </c>
      <c r="E61" s="23">
        <f t="shared" si="16"/>
        <v>74.583371235118065</v>
      </c>
      <c r="F61" s="23">
        <f t="shared" si="16"/>
        <v>80.19400457156371</v>
      </c>
      <c r="G61" s="23">
        <f t="shared" si="16"/>
        <v>85.393342801699518</v>
      </c>
      <c r="H61" s="23">
        <f t="shared" si="16"/>
        <v>91.110300796694474</v>
      </c>
      <c r="I61" s="23">
        <f t="shared" si="16"/>
        <v>97.301108664418223</v>
      </c>
      <c r="J61" s="23">
        <f t="shared" si="16"/>
        <v>104.00557785294787</v>
      </c>
      <c r="K61" s="23">
        <f t="shared" si="16"/>
        <v>111.26693911149601</v>
      </c>
      <c r="L61" s="23">
        <f t="shared" si="16"/>
        <v>119.13226812955652</v>
      </c>
      <c r="M61" s="23">
        <f t="shared" si="16"/>
        <v>127.65276929633464</v>
      </c>
      <c r="N61" s="23">
        <f t="shared" si="16"/>
        <v>135.31193545411472</v>
      </c>
    </row>
    <row r="62" spans="2:16" ht="13.95" customHeight="1" x14ac:dyDescent="0.3">
      <c r="B62" s="8" t="s">
        <v>30</v>
      </c>
      <c r="C62" s="23">
        <f t="shared" ref="C62:N62" si="17">C58*$E$60</f>
        <v>59.702984144046646</v>
      </c>
      <c r="D62" s="23">
        <f t="shared" si="17"/>
        <v>64.12963125738851</v>
      </c>
      <c r="E62" s="23">
        <f t="shared" si="17"/>
        <v>68.740722000452948</v>
      </c>
      <c r="F62" s="23">
        <f t="shared" si="17"/>
        <v>73.919331604202242</v>
      </c>
      <c r="G62" s="23">
        <f t="shared" si="17"/>
        <v>78.700678005472142</v>
      </c>
      <c r="H62" s="23">
        <f t="shared" si="17"/>
        <v>83.978603409841284</v>
      </c>
      <c r="I62" s="23">
        <f t="shared" si="17"/>
        <v>89.682167959724069</v>
      </c>
      <c r="J62" s="23">
        <f t="shared" si="17"/>
        <v>95.853935569671847</v>
      </c>
      <c r="K62" s="23">
        <f t="shared" si="17"/>
        <v>102.55065812575313</v>
      </c>
      <c r="L62" s="23">
        <f t="shared" si="17"/>
        <v>109.80071157100214</v>
      </c>
      <c r="M62" s="23">
        <f t="shared" si="17"/>
        <v>117.66084779148737</v>
      </c>
      <c r="N62" s="23">
        <f t="shared" si="17"/>
        <v>124.72049865897661</v>
      </c>
    </row>
    <row r="65" spans="2:16" ht="13.95" customHeight="1" x14ac:dyDescent="0.3">
      <c r="B65" s="52" t="s">
        <v>47</v>
      </c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</row>
    <row r="66" spans="2:16" ht="13.95" customHeight="1" x14ac:dyDescent="0.3">
      <c r="B66" s="6" t="s">
        <v>7</v>
      </c>
      <c r="C66" s="7" t="s">
        <v>8</v>
      </c>
      <c r="D66" s="7" t="s">
        <v>9</v>
      </c>
      <c r="E66" s="7" t="s">
        <v>10</v>
      </c>
      <c r="F66" s="7" t="s">
        <v>11</v>
      </c>
      <c r="G66" s="7" t="s">
        <v>12</v>
      </c>
      <c r="H66" s="7" t="s">
        <v>13</v>
      </c>
      <c r="I66" s="7" t="s">
        <v>14</v>
      </c>
      <c r="J66" s="7" t="s">
        <v>15</v>
      </c>
      <c r="K66" s="7" t="s">
        <v>16</v>
      </c>
      <c r="L66" s="7" t="s">
        <v>17</v>
      </c>
      <c r="M66" s="7" t="s">
        <v>18</v>
      </c>
      <c r="N66" s="7" t="s">
        <v>19</v>
      </c>
      <c r="P66" s="7" t="s">
        <v>20</v>
      </c>
    </row>
    <row r="67" spans="2:16" ht="13.95" customHeight="1" x14ac:dyDescent="0.3">
      <c r="B67" s="8" t="s">
        <v>21</v>
      </c>
      <c r="C67" s="41">
        <v>17399</v>
      </c>
      <c r="D67" s="41">
        <v>19672</v>
      </c>
      <c r="E67" s="41">
        <v>20985</v>
      </c>
      <c r="F67" s="41">
        <v>22473</v>
      </c>
      <c r="G67" s="41">
        <v>23918</v>
      </c>
      <c r="H67" s="41">
        <v>25510</v>
      </c>
      <c r="I67" s="41">
        <v>27201</v>
      </c>
      <c r="J67" s="41">
        <v>28935</v>
      </c>
      <c r="K67" s="41">
        <v>30589</v>
      </c>
      <c r="L67" s="41">
        <v>32224</v>
      </c>
      <c r="M67" s="41">
        <v>33739</v>
      </c>
      <c r="N67" s="36">
        <f>M67*(1+gAn)</f>
        <v>35763.340000000004</v>
      </c>
      <c r="P67" s="2" t="s">
        <v>48</v>
      </c>
    </row>
    <row r="68" spans="2:16" ht="13.95" customHeight="1" x14ac:dyDescent="0.3">
      <c r="B68" s="8" t="s">
        <v>23</v>
      </c>
      <c r="C68" s="41">
        <v>11309</v>
      </c>
      <c r="D68" s="41">
        <v>12787</v>
      </c>
      <c r="E68" s="41">
        <v>14689</v>
      </c>
      <c r="F68" s="41">
        <v>15731</v>
      </c>
      <c r="G68" s="41">
        <v>17939</v>
      </c>
      <c r="H68" s="41">
        <v>19132</v>
      </c>
      <c r="I68" s="41">
        <v>20400</v>
      </c>
      <c r="J68" s="41">
        <v>21702</v>
      </c>
      <c r="K68" s="41">
        <v>22942</v>
      </c>
      <c r="L68" s="41">
        <v>24168</v>
      </c>
      <c r="M68" s="41">
        <v>25304</v>
      </c>
      <c r="N68" s="36">
        <f>N67*M69</f>
        <v>26822.240000000005</v>
      </c>
      <c r="P68" s="2" t="s">
        <v>49</v>
      </c>
    </row>
    <row r="69" spans="2:16" ht="13.95" customHeight="1" x14ac:dyDescent="0.3">
      <c r="B69" s="8" t="s">
        <v>25</v>
      </c>
      <c r="C69" s="11">
        <f t="shared" ref="C69:N69" si="18">C68/C67</f>
        <v>0.64997988390137362</v>
      </c>
      <c r="D69" s="11">
        <f t="shared" si="18"/>
        <v>0.65001016673444489</v>
      </c>
      <c r="E69" s="11">
        <f t="shared" si="18"/>
        <v>0.6999761734572314</v>
      </c>
      <c r="F69" s="11">
        <f t="shared" si="18"/>
        <v>0.6999955502158145</v>
      </c>
      <c r="G69" s="11">
        <f t="shared" si="18"/>
        <v>0.75002090475792293</v>
      </c>
      <c r="H69" s="11">
        <f t="shared" si="18"/>
        <v>0.74998039984319875</v>
      </c>
      <c r="I69" s="11">
        <f t="shared" si="18"/>
        <v>0.74997242748428372</v>
      </c>
      <c r="J69" s="11">
        <f t="shared" si="18"/>
        <v>0.75002592016588909</v>
      </c>
      <c r="K69" s="11">
        <f t="shared" si="18"/>
        <v>0.75000817287260124</v>
      </c>
      <c r="L69" s="11">
        <f t="shared" si="18"/>
        <v>0.75</v>
      </c>
      <c r="M69" s="11">
        <f t="shared" si="18"/>
        <v>0.74999259017753939</v>
      </c>
      <c r="N69" s="11">
        <f t="shared" si="18"/>
        <v>0.74999259017753939</v>
      </c>
      <c r="P69" s="2" t="s">
        <v>26</v>
      </c>
    </row>
    <row r="70" spans="2:16" ht="13.95" customHeight="1" x14ac:dyDescent="0.3">
      <c r="B70" s="37" t="s">
        <v>27</v>
      </c>
      <c r="C70" s="38">
        <v>735.15957581862858</v>
      </c>
      <c r="D70" s="39">
        <v>109308.4474447</v>
      </c>
      <c r="E70" s="40">
        <f>C70/D70</f>
        <v>6.7255513457965049E-3</v>
      </c>
      <c r="P70" s="2" t="s">
        <v>28</v>
      </c>
    </row>
    <row r="71" spans="2:16" ht="13.95" customHeight="1" x14ac:dyDescent="0.3">
      <c r="B71" s="8" t="s">
        <v>29</v>
      </c>
      <c r="C71" s="23">
        <f t="shared" ref="C71:N71" si="19">C67*$E$70</f>
        <v>117.0178678655134</v>
      </c>
      <c r="D71" s="23">
        <f t="shared" si="19"/>
        <v>132.30504607450885</v>
      </c>
      <c r="E71" s="23">
        <f t="shared" si="19"/>
        <v>141.13569499153965</v>
      </c>
      <c r="F71" s="23">
        <f t="shared" si="19"/>
        <v>151.14331539408485</v>
      </c>
      <c r="G71" s="23">
        <f t="shared" si="19"/>
        <v>160.8617370887608</v>
      </c>
      <c r="H71" s="23">
        <f t="shared" si="19"/>
        <v>171.56881483126884</v>
      </c>
      <c r="I71" s="23">
        <f t="shared" si="19"/>
        <v>182.94172215701073</v>
      </c>
      <c r="J71" s="23">
        <f t="shared" si="19"/>
        <v>194.60382819062187</v>
      </c>
      <c r="K71" s="23">
        <f t="shared" si="19"/>
        <v>205.72789011656928</v>
      </c>
      <c r="L71" s="23">
        <f t="shared" si="19"/>
        <v>216.72416656694656</v>
      </c>
      <c r="M71" s="23">
        <f t="shared" si="19"/>
        <v>226.91337685582829</v>
      </c>
      <c r="N71" s="23">
        <f t="shared" si="19"/>
        <v>240.52817946717801</v>
      </c>
    </row>
    <row r="72" spans="2:16" ht="13.95" customHeight="1" x14ac:dyDescent="0.3">
      <c r="B72" s="8" t="s">
        <v>30</v>
      </c>
      <c r="C72" s="23">
        <f t="shared" ref="C72:N72" si="20">C68*$E$70</f>
        <v>76.059260169612671</v>
      </c>
      <c r="D72" s="23">
        <f t="shared" si="20"/>
        <v>85.999625058699905</v>
      </c>
      <c r="E72" s="23">
        <f t="shared" si="20"/>
        <v>98.791623718404864</v>
      </c>
      <c r="F72" s="23">
        <f t="shared" si="20"/>
        <v>105.79964822072482</v>
      </c>
      <c r="G72" s="23">
        <f t="shared" si="20"/>
        <v>120.64966559224351</v>
      </c>
      <c r="H72" s="23">
        <f t="shared" si="20"/>
        <v>128.67324834777872</v>
      </c>
      <c r="I72" s="23">
        <f t="shared" si="20"/>
        <v>137.20124745424869</v>
      </c>
      <c r="J72" s="23">
        <f t="shared" si="20"/>
        <v>145.95791530647574</v>
      </c>
      <c r="K72" s="23">
        <f t="shared" si="20"/>
        <v>154.29759897526341</v>
      </c>
      <c r="L72" s="23">
        <f t="shared" si="20"/>
        <v>162.54312492520992</v>
      </c>
      <c r="M72" s="23">
        <f t="shared" si="20"/>
        <v>170.18335125403476</v>
      </c>
      <c r="N72" s="23">
        <f t="shared" si="20"/>
        <v>180.39435232927687</v>
      </c>
    </row>
    <row r="75" spans="2:16" ht="13.95" customHeight="1" x14ac:dyDescent="0.3">
      <c r="B75" s="52" t="s">
        <v>50</v>
      </c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</row>
    <row r="76" spans="2:16" ht="13.95" customHeight="1" x14ac:dyDescent="0.3">
      <c r="B76" s="6" t="s">
        <v>7</v>
      </c>
      <c r="C76" s="7" t="s">
        <v>8</v>
      </c>
      <c r="D76" s="7" t="s">
        <v>9</v>
      </c>
      <c r="E76" s="7" t="s">
        <v>10</v>
      </c>
      <c r="F76" s="7" t="s">
        <v>11</v>
      </c>
      <c r="G76" s="7" t="s">
        <v>12</v>
      </c>
      <c r="H76" s="7" t="s">
        <v>13</v>
      </c>
      <c r="I76" s="7" t="s">
        <v>14</v>
      </c>
      <c r="J76" s="7" t="s">
        <v>15</v>
      </c>
      <c r="K76" s="7" t="s">
        <v>16</v>
      </c>
      <c r="L76" s="7" t="s">
        <v>17</v>
      </c>
      <c r="M76" s="7" t="s">
        <v>18</v>
      </c>
      <c r="N76" s="7" t="s">
        <v>19</v>
      </c>
      <c r="P76" s="7" t="s">
        <v>20</v>
      </c>
    </row>
    <row r="77" spans="2:16" ht="13.95" customHeight="1" x14ac:dyDescent="0.3">
      <c r="B77" s="8" t="s">
        <v>51</v>
      </c>
      <c r="C77" s="36">
        <f t="shared" ref="C77:N77" si="21">$C$81*C7/$E$7</f>
        <v>19150.352588147038</v>
      </c>
      <c r="D77" s="36">
        <f t="shared" si="21"/>
        <v>21070.577644411103</v>
      </c>
      <c r="E77" s="36">
        <f t="shared" si="21"/>
        <v>23060</v>
      </c>
      <c r="F77" s="36">
        <f t="shared" si="21"/>
        <v>24973.831827522099</v>
      </c>
      <c r="G77" s="36">
        <f t="shared" si="21"/>
        <v>27021.921458625526</v>
      </c>
      <c r="H77" s="36">
        <f t="shared" si="21"/>
        <v>28916.19752764278</v>
      </c>
      <c r="I77" s="36">
        <f t="shared" si="21"/>
        <v>30814.234319449428</v>
      </c>
      <c r="J77" s="36">
        <f t="shared" si="21"/>
        <v>32764.921230307576</v>
      </c>
      <c r="K77" s="36">
        <f t="shared" si="21"/>
        <v>34933.730062950519</v>
      </c>
      <c r="L77" s="36">
        <f t="shared" si="21"/>
        <v>37263.497830979482</v>
      </c>
      <c r="M77" s="36">
        <f t="shared" si="21"/>
        <v>39701.57441534297</v>
      </c>
      <c r="N77" s="36">
        <f t="shared" si="21"/>
        <v>42256.233406177635</v>
      </c>
      <c r="P77" s="2" t="s">
        <v>52</v>
      </c>
    </row>
    <row r="78" spans="2:16" ht="13.95" customHeight="1" x14ac:dyDescent="0.3">
      <c r="B78" s="8" t="s">
        <v>53</v>
      </c>
      <c r="C78" s="36">
        <f t="shared" ref="C78:N78" si="22">C77*C9</f>
        <v>11068.935386020417</v>
      </c>
      <c r="D78" s="36">
        <f t="shared" si="22"/>
        <v>13655.184448285983</v>
      </c>
      <c r="E78" s="36">
        <f t="shared" si="22"/>
        <v>16153.808669558694</v>
      </c>
      <c r="F78" s="36">
        <f t="shared" si="22"/>
        <v>17687.05535079422</v>
      </c>
      <c r="G78" s="36">
        <f t="shared" si="22"/>
        <v>19793.812257412177</v>
      </c>
      <c r="H78" s="36">
        <f t="shared" si="22"/>
        <v>21889.286995661962</v>
      </c>
      <c r="I78" s="36">
        <f t="shared" si="22"/>
        <v>23323.250595257508</v>
      </c>
      <c r="J78" s="36">
        <f t="shared" si="22"/>
        <v>24797.453928699564</v>
      </c>
      <c r="K78" s="36">
        <f t="shared" si="22"/>
        <v>27308.112462898331</v>
      </c>
      <c r="L78" s="36">
        <f t="shared" si="22"/>
        <v>29120.404775106821</v>
      </c>
      <c r="M78" s="36">
        <f t="shared" si="22"/>
        <v>31414.821748915492</v>
      </c>
      <c r="N78" s="36">
        <f t="shared" si="22"/>
        <v>33850.265827326402</v>
      </c>
    </row>
    <row r="79" spans="2:16" ht="13.95" customHeight="1" x14ac:dyDescent="0.3">
      <c r="B79" s="8" t="s">
        <v>25</v>
      </c>
      <c r="C79" s="11">
        <f t="shared" ref="C79:N79" si="23">C78/C77</f>
        <v>0.57800164958171318</v>
      </c>
      <c r="D79" s="11">
        <f t="shared" si="23"/>
        <v>0.64806882273149136</v>
      </c>
      <c r="E79" s="11">
        <f t="shared" si="23"/>
        <v>0.70051208454287484</v>
      </c>
      <c r="F79" s="11">
        <f t="shared" si="23"/>
        <v>0.70822353065188903</v>
      </c>
      <c r="G79" s="11">
        <f t="shared" si="23"/>
        <v>0.73250942897304216</v>
      </c>
      <c r="H79" s="11">
        <f t="shared" si="23"/>
        <v>0.75699050591754469</v>
      </c>
      <c r="I79" s="11">
        <f t="shared" si="23"/>
        <v>0.75689859282131389</v>
      </c>
      <c r="J79" s="11">
        <f t="shared" si="23"/>
        <v>0.7568293466782976</v>
      </c>
      <c r="K79" s="11">
        <f t="shared" si="23"/>
        <v>0.78171189889225001</v>
      </c>
      <c r="L79" s="11">
        <f t="shared" si="23"/>
        <v>0.78147266011343686</v>
      </c>
      <c r="M79" s="11">
        <f t="shared" si="23"/>
        <v>0.79127395352802432</v>
      </c>
      <c r="N79" s="11">
        <f t="shared" si="23"/>
        <v>0.80107153664050135</v>
      </c>
    </row>
    <row r="80" spans="2:16" ht="13.95" customHeight="1" x14ac:dyDescent="0.3">
      <c r="B80" s="37" t="s">
        <v>27</v>
      </c>
      <c r="C80" s="38">
        <v>7020.6235863480097</v>
      </c>
      <c r="D80" s="39">
        <v>179573.1348910488</v>
      </c>
      <c r="E80" s="40">
        <f>C80/D80</f>
        <v>3.9096179896884825E-2</v>
      </c>
    </row>
    <row r="81" spans="2:16" ht="13.95" customHeight="1" x14ac:dyDescent="0.3">
      <c r="B81" s="37" t="s">
        <v>54</v>
      </c>
      <c r="C81" s="39">
        <v>23060</v>
      </c>
    </row>
    <row r="82" spans="2:16" ht="13.95" customHeight="1" x14ac:dyDescent="0.3">
      <c r="B82" s="8" t="s">
        <v>29</v>
      </c>
      <c r="C82" s="23">
        <f t="shared" ref="C82:N82" si="24">C77*$E$80</f>
        <v>748.70562987497044</v>
      </c>
      <c r="D82" s="23">
        <f t="shared" si="24"/>
        <v>823.77909411717621</v>
      </c>
      <c r="E82" s="23">
        <f t="shared" si="24"/>
        <v>901.55790842216402</v>
      </c>
      <c r="F82" s="23">
        <f t="shared" si="24"/>
        <v>976.38142184335186</v>
      </c>
      <c r="G82" s="23">
        <f t="shared" si="24"/>
        <v>1056.4539025059159</v>
      </c>
      <c r="H82" s="23">
        <f t="shared" si="24"/>
        <v>1130.5128604745782</v>
      </c>
      <c r="I82" s="23">
        <f t="shared" si="24"/>
        <v>1204.7188483379571</v>
      </c>
      <c r="J82" s="23">
        <f t="shared" si="24"/>
        <v>1280.9832547273659</v>
      </c>
      <c r="K82" s="23">
        <f t="shared" si="24"/>
        <v>1365.7753950103272</v>
      </c>
      <c r="L82" s="23">
        <f t="shared" si="24"/>
        <v>1456.8604147871513</v>
      </c>
      <c r="M82" s="23">
        <f t="shared" si="24"/>
        <v>1552.1798955318086</v>
      </c>
      <c r="N82" s="23">
        <f t="shared" si="24"/>
        <v>1652.057303012675</v>
      </c>
    </row>
    <row r="83" spans="2:16" ht="13.95" customHeight="1" x14ac:dyDescent="0.3">
      <c r="B83" s="8" t="s">
        <v>30</v>
      </c>
      <c r="C83" s="23">
        <f t="shared" ref="C83:N83" si="25">C78*$E$80</f>
        <v>432.75308911884849</v>
      </c>
      <c r="D83" s="23">
        <f t="shared" si="25"/>
        <v>533.86554771533281</v>
      </c>
      <c r="E83" s="23">
        <f t="shared" si="25"/>
        <v>631.55220976492444</v>
      </c>
      <c r="F83" s="23">
        <f t="shared" si="25"/>
        <v>691.49629784081014</v>
      </c>
      <c r="G83" s="23">
        <f t="shared" si="25"/>
        <v>773.8624448609504</v>
      </c>
      <c r="H83" s="23">
        <f t="shared" si="25"/>
        <v>855.78750219694166</v>
      </c>
      <c r="I83" s="23">
        <f t="shared" si="25"/>
        <v>911.85000105231359</v>
      </c>
      <c r="J83" s="23">
        <f t="shared" si="25"/>
        <v>969.48571978115149</v>
      </c>
      <c r="K83" s="23">
        <f t="shared" si="25"/>
        <v>1067.6428774938356</v>
      </c>
      <c r="L83" s="23">
        <f t="shared" si="25"/>
        <v>1138.4965837576801</v>
      </c>
      <c r="M83" s="23">
        <f t="shared" si="25"/>
        <v>1228.1995225241701</v>
      </c>
      <c r="N83" s="23">
        <f t="shared" si="25"/>
        <v>1323.4160823425259</v>
      </c>
    </row>
    <row r="86" spans="2:16" ht="13.95" customHeight="1" x14ac:dyDescent="0.3">
      <c r="B86" s="52" t="s">
        <v>55</v>
      </c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</row>
    <row r="87" spans="2:16" ht="13.95" customHeight="1" x14ac:dyDescent="0.3">
      <c r="B87" s="6" t="s">
        <v>7</v>
      </c>
      <c r="C87" s="7" t="s">
        <v>8</v>
      </c>
      <c r="D87" s="7" t="s">
        <v>9</v>
      </c>
      <c r="E87" s="7" t="s">
        <v>10</v>
      </c>
      <c r="F87" s="7" t="s">
        <v>11</v>
      </c>
      <c r="G87" s="7" t="s">
        <v>12</v>
      </c>
      <c r="H87" s="7" t="s">
        <v>13</v>
      </c>
      <c r="I87" s="7" t="s">
        <v>14</v>
      </c>
      <c r="J87" s="7" t="s">
        <v>15</v>
      </c>
      <c r="K87" s="7" t="s">
        <v>16</v>
      </c>
      <c r="L87" s="7" t="s">
        <v>17</v>
      </c>
      <c r="M87" s="7" t="s">
        <v>18</v>
      </c>
      <c r="N87" s="7" t="s">
        <v>19</v>
      </c>
      <c r="P87" s="7" t="s">
        <v>20</v>
      </c>
    </row>
    <row r="88" spans="2:16" ht="13.95" customHeight="1" x14ac:dyDescent="0.3">
      <c r="B88" s="8" t="s">
        <v>29</v>
      </c>
      <c r="C88" s="23">
        <f t="shared" ref="C88:N88" si="26">C11+C21+C31+C41+C51+C61+C71+C82</f>
        <v>5479.988272996653</v>
      </c>
      <c r="D88" s="23">
        <f t="shared" si="26"/>
        <v>6258.6560154397557</v>
      </c>
      <c r="E88" s="23">
        <f t="shared" si="26"/>
        <v>7040.8650036750641</v>
      </c>
      <c r="F88" s="23">
        <f t="shared" si="26"/>
        <v>7742.139402862038</v>
      </c>
      <c r="G88" s="23">
        <f t="shared" si="26"/>
        <v>8449.600862091309</v>
      </c>
      <c r="H88" s="23">
        <f t="shared" si="26"/>
        <v>9152.3399150922924</v>
      </c>
      <c r="I88" s="23">
        <f t="shared" si="26"/>
        <v>9841.275798330691</v>
      </c>
      <c r="J88" s="23">
        <f t="shared" si="26"/>
        <v>10548.053625671788</v>
      </c>
      <c r="K88" s="23">
        <f t="shared" si="26"/>
        <v>11250.405838208349</v>
      </c>
      <c r="L88" s="23">
        <f t="shared" si="26"/>
        <v>11976.811866348546</v>
      </c>
      <c r="M88" s="23">
        <f t="shared" si="26"/>
        <v>12735.712284391186</v>
      </c>
      <c r="N88" s="23">
        <f t="shared" si="26"/>
        <v>13493.687184833203</v>
      </c>
    </row>
    <row r="89" spans="2:16" ht="13.95" customHeight="1" x14ac:dyDescent="0.3">
      <c r="B89" s="8" t="s">
        <v>30</v>
      </c>
      <c r="C89" s="23">
        <f t="shared" ref="C89:N89" si="27">C12+C22+C32+C42+C52+C62+C72+C83</f>
        <v>2941.5014000368174</v>
      </c>
      <c r="D89" s="23">
        <f t="shared" si="27"/>
        <v>3590.2153971928301</v>
      </c>
      <c r="E89" s="23">
        <f t="shared" si="27"/>
        <v>4217.2415642358264</v>
      </c>
      <c r="F89" s="23">
        <f t="shared" si="27"/>
        <v>4754.0555304904219</v>
      </c>
      <c r="G89" s="23">
        <f t="shared" si="27"/>
        <v>5389.5861291073406</v>
      </c>
      <c r="H89" s="23">
        <f t="shared" si="27"/>
        <v>6079.3956420249669</v>
      </c>
      <c r="I89" s="23">
        <f t="shared" si="27"/>
        <v>6715.7574920042734</v>
      </c>
      <c r="J89" s="23">
        <f t="shared" si="27"/>
        <v>7367.874164435304</v>
      </c>
      <c r="K89" s="23">
        <f t="shared" si="27"/>
        <v>8149.8624917506822</v>
      </c>
      <c r="L89" s="23">
        <f t="shared" si="27"/>
        <v>8868.3438555300527</v>
      </c>
      <c r="M89" s="23">
        <f t="shared" si="27"/>
        <v>9583.6820503086765</v>
      </c>
      <c r="N89" s="23">
        <f t="shared" si="27"/>
        <v>10242.568001069658</v>
      </c>
    </row>
    <row r="90" spans="2:16" ht="13.95" customHeight="1" x14ac:dyDescent="0.3">
      <c r="B90" s="13" t="s">
        <v>56</v>
      </c>
      <c r="D90" s="14">
        <f t="shared" ref="D90:N90" si="28">D88/C88-1</f>
        <v>0.14209295780432374</v>
      </c>
      <c r="E90" s="14">
        <f t="shared" si="28"/>
        <v>0.1249803450302498</v>
      </c>
      <c r="F90" s="14">
        <f t="shared" si="28"/>
        <v>9.9600602883443301E-2</v>
      </c>
      <c r="G90" s="14">
        <f t="shared" si="28"/>
        <v>9.1378031628795542E-2</v>
      </c>
      <c r="H90" s="14">
        <f t="shared" si="28"/>
        <v>8.316831344706288E-2</v>
      </c>
      <c r="I90" s="14">
        <f t="shared" si="28"/>
        <v>7.5274289376243253E-2</v>
      </c>
      <c r="J90" s="14">
        <f t="shared" si="28"/>
        <v>7.1817703499477359E-2</v>
      </c>
      <c r="K90" s="14">
        <f t="shared" si="28"/>
        <v>6.6585953907854822E-2</v>
      </c>
      <c r="L90" s="14">
        <f t="shared" si="28"/>
        <v>6.4567095497408022E-2</v>
      </c>
      <c r="M90" s="14">
        <f t="shared" si="28"/>
        <v>6.3364142854655192E-2</v>
      </c>
      <c r="N90" s="14">
        <f t="shared" si="28"/>
        <v>5.951570540510609E-2</v>
      </c>
      <c r="P90" s="2" t="s">
        <v>57</v>
      </c>
    </row>
    <row r="91" spans="2:16" ht="13.95" customHeight="1" x14ac:dyDescent="0.3">
      <c r="B91" s="13" t="s">
        <v>58</v>
      </c>
      <c r="C91" s="14">
        <f t="shared" ref="C91:N91" si="29">C89/C88</f>
        <v>0.5367714771455705</v>
      </c>
      <c r="D91" s="14">
        <f t="shared" si="29"/>
        <v>0.57363999368809671</v>
      </c>
      <c r="E91" s="14">
        <f t="shared" si="29"/>
        <v>0.59896640001400203</v>
      </c>
      <c r="F91" s="14">
        <f t="shared" si="29"/>
        <v>0.61404933224697422</v>
      </c>
      <c r="G91" s="14">
        <f t="shared" si="29"/>
        <v>0.6378509727349887</v>
      </c>
      <c r="H91" s="14">
        <f t="shared" si="29"/>
        <v>0.66424495794785632</v>
      </c>
      <c r="I91" s="14">
        <f t="shared" si="29"/>
        <v>0.68240720305221214</v>
      </c>
      <c r="J91" s="14">
        <f t="shared" si="29"/>
        <v>0.69850556566222011</v>
      </c>
      <c r="K91" s="14">
        <f t="shared" si="29"/>
        <v>0.72440608889612867</v>
      </c>
      <c r="L91" s="14">
        <f t="shared" si="29"/>
        <v>0.74045947740463314</v>
      </c>
      <c r="M91" s="14">
        <f t="shared" si="29"/>
        <v>0.75250459780364076</v>
      </c>
      <c r="N91" s="14">
        <f t="shared" si="29"/>
        <v>0.75906369110010363</v>
      </c>
      <c r="P91" s="2" t="s">
        <v>59</v>
      </c>
    </row>
    <row r="92" spans="2:16" ht="13.95" customHeight="1" x14ac:dyDescent="0.3">
      <c r="B92" s="37" t="s">
        <v>60</v>
      </c>
      <c r="C92" s="35">
        <f>(C10+C20+C30+C40+C50+C60+C70+C80)/'DDM Financials'!$C$7</f>
        <v>0.95917277842794302</v>
      </c>
      <c r="P92" s="2" t="s">
        <v>61</v>
      </c>
    </row>
  </sheetData>
  <mergeCells count="9">
    <mergeCell ref="B55:P55"/>
    <mergeCell ref="B65:P65"/>
    <mergeCell ref="B75:P75"/>
    <mergeCell ref="B86:P86"/>
    <mergeCell ref="B5:P5"/>
    <mergeCell ref="B15:P15"/>
    <mergeCell ref="B25:P25"/>
    <mergeCell ref="B35:P35"/>
    <mergeCell ref="B45:P4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M15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18.6640625" customWidth="1"/>
    <col min="3" max="14" width="11.6640625" customWidth="1"/>
  </cols>
  <sheetData>
    <row r="1" spans="2:13" ht="30" customHeight="1" x14ac:dyDescent="0.3">
      <c r="B1" s="1" t="s">
        <v>62</v>
      </c>
    </row>
    <row r="2" spans="2:13" ht="13.95" customHeight="1" x14ac:dyDescent="0.3">
      <c r="B2" s="2" t="s">
        <v>63</v>
      </c>
    </row>
    <row r="3" spans="2:13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3" ht="43.95" customHeight="1" x14ac:dyDescent="0.3">
      <c r="B5" s="6" t="s">
        <v>64</v>
      </c>
      <c r="C5" s="7" t="s">
        <v>65</v>
      </c>
      <c r="D5" s="7" t="s">
        <v>66</v>
      </c>
      <c r="E5" s="7" t="s">
        <v>67</v>
      </c>
      <c r="F5" s="7" t="s">
        <v>68</v>
      </c>
      <c r="G5" s="7" t="s">
        <v>69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75</v>
      </c>
    </row>
    <row r="6" spans="2:13" ht="13.95" customHeight="1" x14ac:dyDescent="0.3">
      <c r="B6" s="37" t="s">
        <v>76</v>
      </c>
      <c r="C6" s="42">
        <v>0.15129999999999999</v>
      </c>
      <c r="D6" s="42">
        <v>7.5999999999999998E-2</v>
      </c>
      <c r="E6" s="43">
        <v>0.04</v>
      </c>
      <c r="F6" s="42">
        <v>9.8599999999999993E-2</v>
      </c>
      <c r="G6" s="43">
        <v>5.5E-2</v>
      </c>
      <c r="H6" s="44">
        <v>0.95799999999999996</v>
      </c>
      <c r="I6" s="43">
        <v>0.06</v>
      </c>
      <c r="J6" s="43">
        <v>0.46229999999999999</v>
      </c>
      <c r="K6" s="45">
        <v>2037</v>
      </c>
      <c r="L6" s="46" t="s">
        <v>77</v>
      </c>
      <c r="M6" s="38">
        <v>26109.888999999999</v>
      </c>
    </row>
    <row r="7" spans="2:13" ht="13.95" customHeight="1" x14ac:dyDescent="0.3">
      <c r="B7" s="37" t="s">
        <v>78</v>
      </c>
      <c r="C7" s="42">
        <v>0.16189999999999999</v>
      </c>
      <c r="D7" s="42">
        <v>7.5999999999999998E-2</v>
      </c>
      <c r="E7" s="43">
        <v>0.04</v>
      </c>
      <c r="F7" s="42">
        <v>9.8599999999999993E-2</v>
      </c>
      <c r="G7" s="43">
        <v>5.5E-2</v>
      </c>
      <c r="H7" s="44">
        <v>1.1499999999999999</v>
      </c>
      <c r="I7" s="43">
        <v>0.06</v>
      </c>
      <c r="J7" s="43">
        <v>0.43709999999999999</v>
      </c>
      <c r="K7" s="45">
        <v>2037</v>
      </c>
      <c r="L7" s="46" t="s">
        <v>77</v>
      </c>
      <c r="M7" s="38">
        <v>10039.703</v>
      </c>
    </row>
    <row r="8" spans="2:13" ht="13.95" customHeight="1" x14ac:dyDescent="0.3">
      <c r="B8" s="37" t="s">
        <v>79</v>
      </c>
      <c r="C8" s="42">
        <v>0.1583</v>
      </c>
      <c r="D8" s="42">
        <v>7.3200000000000001E-2</v>
      </c>
      <c r="E8" s="43">
        <v>0.04</v>
      </c>
      <c r="F8" s="42">
        <v>9.6199999999999994E-2</v>
      </c>
      <c r="G8" s="43">
        <v>5.5E-2</v>
      </c>
      <c r="H8" s="44">
        <v>1.129</v>
      </c>
      <c r="I8" s="43">
        <v>0.06</v>
      </c>
      <c r="J8" s="43">
        <v>0.43580000000000002</v>
      </c>
      <c r="K8" s="45">
        <v>2033</v>
      </c>
      <c r="L8" s="46" t="s">
        <v>80</v>
      </c>
      <c r="M8" s="38">
        <v>8337.4030000000002</v>
      </c>
    </row>
    <row r="9" spans="2:13" ht="13.95" customHeight="1" x14ac:dyDescent="0.3">
      <c r="B9" s="37" t="s">
        <v>81</v>
      </c>
      <c r="C9" s="42">
        <v>0.16370000000000001</v>
      </c>
      <c r="D9" s="42">
        <v>7.4099999999999999E-2</v>
      </c>
      <c r="E9" s="43">
        <v>0.04</v>
      </c>
      <c r="F9" s="42">
        <v>9.7000000000000003E-2</v>
      </c>
      <c r="G9" s="43">
        <v>5.5E-2</v>
      </c>
      <c r="H9" s="44">
        <v>1.2130000000000001</v>
      </c>
      <c r="I9" s="43">
        <v>0.06</v>
      </c>
      <c r="J9" s="43">
        <v>0.51829999999999998</v>
      </c>
      <c r="K9" s="45">
        <v>2036</v>
      </c>
      <c r="L9" s="46" t="s">
        <v>82</v>
      </c>
      <c r="M9" s="38">
        <v>6925.2190000000001</v>
      </c>
    </row>
    <row r="10" spans="2:13" ht="13.95" customHeight="1" x14ac:dyDescent="0.3">
      <c r="B10" s="37" t="s">
        <v>83</v>
      </c>
      <c r="C10" s="42">
        <v>0.18090000000000001</v>
      </c>
      <c r="D10" s="42">
        <v>8.1000000000000003E-2</v>
      </c>
      <c r="E10" s="43">
        <v>0.04</v>
      </c>
      <c r="F10" s="42">
        <v>0.10290000000000001</v>
      </c>
      <c r="G10" s="43">
        <v>0.06</v>
      </c>
      <c r="H10" s="44">
        <v>1.3</v>
      </c>
      <c r="I10" s="43">
        <v>0.06</v>
      </c>
      <c r="J10" s="43">
        <v>0.41849999999999998</v>
      </c>
      <c r="K10" s="45">
        <v>2037</v>
      </c>
      <c r="L10" s="46" t="s">
        <v>77</v>
      </c>
      <c r="M10" s="38">
        <v>5397.3180000000002</v>
      </c>
    </row>
    <row r="11" spans="2:13" ht="13.95" customHeight="1" x14ac:dyDescent="0.3">
      <c r="B11" s="37" t="s">
        <v>84</v>
      </c>
      <c r="C11" s="42">
        <v>0.1386</v>
      </c>
      <c r="D11" s="42">
        <v>7.51E-2</v>
      </c>
      <c r="E11" s="43">
        <v>0.04</v>
      </c>
      <c r="F11" s="42">
        <v>9.7799999999999998E-2</v>
      </c>
      <c r="G11" s="43">
        <v>5.5E-2</v>
      </c>
      <c r="H11" s="44">
        <v>0.74199999999999999</v>
      </c>
      <c r="I11" s="43">
        <v>0.06</v>
      </c>
      <c r="J11" s="43">
        <v>0.50029999999999997</v>
      </c>
      <c r="K11" s="45">
        <v>2036</v>
      </c>
      <c r="L11" s="46" t="s">
        <v>82</v>
      </c>
      <c r="M11" s="38">
        <v>895.11900000000003</v>
      </c>
    </row>
    <row r="12" spans="2:13" ht="13.95" customHeight="1" x14ac:dyDescent="0.3">
      <c r="B12" s="37" t="s">
        <v>85</v>
      </c>
      <c r="C12" s="42">
        <v>0.14899999999999999</v>
      </c>
      <c r="D12" s="42">
        <v>7.4899999999999994E-2</v>
      </c>
      <c r="E12" s="43">
        <v>0.04</v>
      </c>
      <c r="F12" s="42">
        <v>9.7699999999999995E-2</v>
      </c>
      <c r="G12" s="43">
        <v>0.05</v>
      </c>
      <c r="H12" s="44">
        <v>1.0269999999999999</v>
      </c>
      <c r="I12" s="43">
        <v>0.06</v>
      </c>
      <c r="J12" s="43">
        <v>0.4541</v>
      </c>
      <c r="K12" s="45">
        <v>2036</v>
      </c>
      <c r="L12" s="46" t="s">
        <v>82</v>
      </c>
      <c r="M12" s="38">
        <v>735.16</v>
      </c>
    </row>
    <row r="13" spans="2:13" ht="13.95" customHeight="1" x14ac:dyDescent="0.3">
      <c r="B13" s="47" t="s">
        <v>86</v>
      </c>
      <c r="C13" s="48">
        <f>SUMPRODUCT(C6:C12,$M$6:$M$12)/SUM($M$6:$M$12)</f>
        <v>0.15809942517096781</v>
      </c>
      <c r="D13" s="48">
        <f>SUMPRODUCT(D6:D12,$M$6:$M$12)/SUM($M$6:$M$12)</f>
        <v>7.5809541861796934E-2</v>
      </c>
      <c r="E13" s="49"/>
      <c r="F13" s="48">
        <f>SUMPRODUCT(F6:F12,$M$6:$M$12)/SUM($M$6:$M$12)</f>
        <v>9.8441556821598872E-2</v>
      </c>
      <c r="G13" s="48">
        <f>SUMPRODUCT(G6:G12,$M$6:$M$12)/SUM($M$6:$M$12)</f>
        <v>5.5398885444718507E-2</v>
      </c>
      <c r="H13" s="50">
        <f>SUMPRODUCT(H6:H12,$M$6:$M$12)/SUM($M$6:$M$12)</f>
        <v>1.0747442657540422</v>
      </c>
      <c r="I13" s="51">
        <f>SUMPRODUCT(I6:I12,$M$6:$M$12)/SUM($M$6:$M$12)</f>
        <v>6.0000000000000005E-2</v>
      </c>
      <c r="J13" s="51">
        <f>SUMPRODUCT(J6:J12,$M$6:$M$12)/SUM($M$6:$M$12)</f>
        <v>0.45725984424898297</v>
      </c>
      <c r="K13" s="49"/>
      <c r="L13" s="49"/>
      <c r="M13" s="49"/>
    </row>
    <row r="15" spans="2:13" ht="13.95" customHeight="1" x14ac:dyDescent="0.3">
      <c r="B15" s="2" t="s">
        <v>87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DDM Financials</vt:lpstr>
      <vt:lpstr>Members DDM</vt:lpstr>
      <vt:lpstr>Analyst Models</vt:lpstr>
      <vt:lpstr>Model Parameters</vt:lpstr>
      <vt:lpstr>BetaAn</vt:lpstr>
      <vt:lpstr>ERPAn</vt:lpstr>
      <vt:lpstr>g_</vt:lpstr>
      <vt:lpstr>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2026-10-08T14:40:10Z</dcterms:created>
  <dcterms:modified xsi:type="dcterms:W3CDTF">2026-10-08T14:40:19Z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