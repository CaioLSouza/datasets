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io\Documents\Documentos\XP\Brazil Bull Case\"/>
    </mc:Choice>
  </mc:AlternateContent>
  <xr:revisionPtr revIDLastSave="0" documentId="13_ncr:1_{D805A944-8198-4FA6-8DB4-E29C21275C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CF Cyclicals" sheetId="1" r:id="rId1"/>
    <sheet name="History" sheetId="2" r:id="rId2"/>
  </sheets>
  <definedNames>
    <definedName name="ERP">'DCF Cyclicals'!$C$12</definedName>
    <definedName name="gLT">'DCF Cyclicals'!$C$11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6" i="2" l="1"/>
  <c r="G126" i="2"/>
  <c r="I126" i="2" s="1"/>
  <c r="H125" i="2"/>
  <c r="G125" i="2"/>
  <c r="I125" i="2" s="1"/>
  <c r="H124" i="2"/>
  <c r="G124" i="2"/>
  <c r="I124" i="2" s="1"/>
  <c r="H123" i="2"/>
  <c r="G123" i="2"/>
  <c r="I123" i="2" s="1"/>
  <c r="H122" i="2"/>
  <c r="G122" i="2"/>
  <c r="I122" i="2" s="1"/>
  <c r="H121" i="2"/>
  <c r="G121" i="2"/>
  <c r="H120" i="2"/>
  <c r="G120" i="2"/>
  <c r="I120" i="2" s="1"/>
  <c r="H119" i="2"/>
  <c r="G119" i="2"/>
  <c r="H118" i="2"/>
  <c r="G118" i="2"/>
  <c r="I118" i="2" s="1"/>
  <c r="H117" i="2"/>
  <c r="G117" i="2"/>
  <c r="H116" i="2"/>
  <c r="G116" i="2"/>
  <c r="I116" i="2" s="1"/>
  <c r="H115" i="2"/>
  <c r="G115" i="2"/>
  <c r="H114" i="2"/>
  <c r="G114" i="2"/>
  <c r="I114" i="2" s="1"/>
  <c r="H113" i="2"/>
  <c r="G113" i="2"/>
  <c r="H112" i="2"/>
  <c r="G112" i="2"/>
  <c r="I112" i="2" s="1"/>
  <c r="H111" i="2"/>
  <c r="G111" i="2"/>
  <c r="H110" i="2"/>
  <c r="G110" i="2"/>
  <c r="I110" i="2" s="1"/>
  <c r="H109" i="2"/>
  <c r="G109" i="2"/>
  <c r="H108" i="2"/>
  <c r="G108" i="2"/>
  <c r="I108" i="2" s="1"/>
  <c r="H107" i="2"/>
  <c r="G107" i="2"/>
  <c r="H106" i="2"/>
  <c r="G106" i="2"/>
  <c r="I106" i="2" s="1"/>
  <c r="H105" i="2"/>
  <c r="G105" i="2"/>
  <c r="H104" i="2"/>
  <c r="G104" i="2"/>
  <c r="I104" i="2" s="1"/>
  <c r="H103" i="2"/>
  <c r="G103" i="2"/>
  <c r="H102" i="2"/>
  <c r="G102" i="2"/>
  <c r="I102" i="2" s="1"/>
  <c r="H101" i="2"/>
  <c r="G101" i="2"/>
  <c r="H100" i="2"/>
  <c r="G100" i="2"/>
  <c r="I100" i="2" s="1"/>
  <c r="H99" i="2"/>
  <c r="G99" i="2"/>
  <c r="H98" i="2"/>
  <c r="G98" i="2"/>
  <c r="I98" i="2" s="1"/>
  <c r="H97" i="2"/>
  <c r="G97" i="2"/>
  <c r="H96" i="2"/>
  <c r="G96" i="2"/>
  <c r="I96" i="2" s="1"/>
  <c r="H95" i="2"/>
  <c r="G95" i="2"/>
  <c r="H94" i="2"/>
  <c r="G94" i="2"/>
  <c r="I94" i="2" s="1"/>
  <c r="H93" i="2"/>
  <c r="G93" i="2"/>
  <c r="H92" i="2"/>
  <c r="G92" i="2"/>
  <c r="I92" i="2" s="1"/>
  <c r="H91" i="2"/>
  <c r="G91" i="2"/>
  <c r="H90" i="2"/>
  <c r="G90" i="2"/>
  <c r="I90" i="2" s="1"/>
  <c r="H89" i="2"/>
  <c r="G89" i="2"/>
  <c r="H88" i="2"/>
  <c r="G88" i="2"/>
  <c r="I88" i="2" s="1"/>
  <c r="H87" i="2"/>
  <c r="G87" i="2"/>
  <c r="H86" i="2"/>
  <c r="G86" i="2"/>
  <c r="I86" i="2" s="1"/>
  <c r="H85" i="2"/>
  <c r="G85" i="2"/>
  <c r="H84" i="2"/>
  <c r="G84" i="2"/>
  <c r="I84" i="2" s="1"/>
  <c r="H83" i="2"/>
  <c r="G83" i="2"/>
  <c r="H82" i="2"/>
  <c r="G82" i="2"/>
  <c r="I82" i="2" s="1"/>
  <c r="H81" i="2"/>
  <c r="G81" i="2"/>
  <c r="H80" i="2"/>
  <c r="G80" i="2"/>
  <c r="I80" i="2" s="1"/>
  <c r="H79" i="2"/>
  <c r="G79" i="2"/>
  <c r="H78" i="2"/>
  <c r="G78" i="2"/>
  <c r="I78" i="2" s="1"/>
  <c r="H77" i="2"/>
  <c r="G77" i="2"/>
  <c r="H76" i="2"/>
  <c r="G76" i="2"/>
  <c r="I76" i="2" s="1"/>
  <c r="H75" i="2"/>
  <c r="G75" i="2"/>
  <c r="H74" i="2"/>
  <c r="G74" i="2"/>
  <c r="I74" i="2" s="1"/>
  <c r="H73" i="2"/>
  <c r="G73" i="2"/>
  <c r="H72" i="2"/>
  <c r="G72" i="2"/>
  <c r="I72" i="2" s="1"/>
  <c r="H71" i="2"/>
  <c r="G71" i="2"/>
  <c r="H70" i="2"/>
  <c r="G70" i="2"/>
  <c r="I70" i="2" s="1"/>
  <c r="H69" i="2"/>
  <c r="G69" i="2"/>
  <c r="H68" i="2"/>
  <c r="G68" i="2"/>
  <c r="I68" i="2" s="1"/>
  <c r="H67" i="2"/>
  <c r="G67" i="2"/>
  <c r="H66" i="2"/>
  <c r="G66" i="2"/>
  <c r="I66" i="2" s="1"/>
  <c r="H65" i="2"/>
  <c r="G65" i="2"/>
  <c r="H64" i="2"/>
  <c r="G64" i="2"/>
  <c r="I64" i="2" s="1"/>
  <c r="H63" i="2"/>
  <c r="G63" i="2"/>
  <c r="H62" i="2"/>
  <c r="G62" i="2"/>
  <c r="I62" i="2" s="1"/>
  <c r="H61" i="2"/>
  <c r="G61" i="2"/>
  <c r="H60" i="2"/>
  <c r="G60" i="2"/>
  <c r="I60" i="2" s="1"/>
  <c r="H59" i="2"/>
  <c r="G59" i="2"/>
  <c r="H58" i="2"/>
  <c r="G58" i="2"/>
  <c r="I58" i="2" s="1"/>
  <c r="H57" i="2"/>
  <c r="G57" i="2"/>
  <c r="H56" i="2"/>
  <c r="G56" i="2"/>
  <c r="I56" i="2" s="1"/>
  <c r="H55" i="2"/>
  <c r="G55" i="2"/>
  <c r="H54" i="2"/>
  <c r="G54" i="2"/>
  <c r="I54" i="2" s="1"/>
  <c r="H53" i="2"/>
  <c r="G53" i="2"/>
  <c r="H52" i="2"/>
  <c r="G52" i="2"/>
  <c r="I52" i="2" s="1"/>
  <c r="H51" i="2"/>
  <c r="G51" i="2"/>
  <c r="H50" i="2"/>
  <c r="G50" i="2"/>
  <c r="I50" i="2" s="1"/>
  <c r="H49" i="2"/>
  <c r="G49" i="2"/>
  <c r="H48" i="2"/>
  <c r="G48" i="2"/>
  <c r="I48" i="2" s="1"/>
  <c r="H47" i="2"/>
  <c r="G47" i="2"/>
  <c r="H46" i="2"/>
  <c r="G46" i="2"/>
  <c r="I46" i="2" s="1"/>
  <c r="H45" i="2"/>
  <c r="G45" i="2"/>
  <c r="H44" i="2"/>
  <c r="G44" i="2"/>
  <c r="I44" i="2" s="1"/>
  <c r="H43" i="2"/>
  <c r="G43" i="2"/>
  <c r="H42" i="2"/>
  <c r="G42" i="2"/>
  <c r="I42" i="2" s="1"/>
  <c r="H41" i="2"/>
  <c r="G41" i="2"/>
  <c r="H40" i="2"/>
  <c r="G40" i="2"/>
  <c r="I40" i="2" s="1"/>
  <c r="H39" i="2"/>
  <c r="G39" i="2"/>
  <c r="H38" i="2"/>
  <c r="G38" i="2"/>
  <c r="I38" i="2" s="1"/>
  <c r="H37" i="2"/>
  <c r="G37" i="2"/>
  <c r="H36" i="2"/>
  <c r="G36" i="2"/>
  <c r="I36" i="2" s="1"/>
  <c r="H35" i="2"/>
  <c r="G35" i="2"/>
  <c r="H34" i="2"/>
  <c r="G34" i="2"/>
  <c r="I34" i="2" s="1"/>
  <c r="H33" i="2"/>
  <c r="G33" i="2"/>
  <c r="H32" i="2"/>
  <c r="G32" i="2"/>
  <c r="I32" i="2" s="1"/>
  <c r="H31" i="2"/>
  <c r="G31" i="2"/>
  <c r="H30" i="2"/>
  <c r="G30" i="2"/>
  <c r="I30" i="2" s="1"/>
  <c r="H29" i="2"/>
  <c r="G29" i="2"/>
  <c r="H28" i="2"/>
  <c r="G28" i="2"/>
  <c r="I28" i="2" s="1"/>
  <c r="H27" i="2"/>
  <c r="G27" i="2"/>
  <c r="H26" i="2"/>
  <c r="G26" i="2"/>
  <c r="I26" i="2" s="1"/>
  <c r="H25" i="2"/>
  <c r="G25" i="2"/>
  <c r="H24" i="2"/>
  <c r="G24" i="2"/>
  <c r="I24" i="2" s="1"/>
  <c r="H23" i="2"/>
  <c r="G23" i="2"/>
  <c r="H22" i="2"/>
  <c r="G22" i="2"/>
  <c r="I22" i="2" s="1"/>
  <c r="H21" i="2"/>
  <c r="G21" i="2"/>
  <c r="H20" i="2"/>
  <c r="G20" i="2"/>
  <c r="I20" i="2" s="1"/>
  <c r="H19" i="2"/>
  <c r="G19" i="2"/>
  <c r="H18" i="2"/>
  <c r="G18" i="2"/>
  <c r="I18" i="2" s="1"/>
  <c r="H17" i="2"/>
  <c r="G17" i="2"/>
  <c r="H16" i="2"/>
  <c r="G16" i="2"/>
  <c r="I16" i="2" s="1"/>
  <c r="H15" i="2"/>
  <c r="G15" i="2"/>
  <c r="H14" i="2"/>
  <c r="G14" i="2"/>
  <c r="I14" i="2" s="1"/>
  <c r="H13" i="2"/>
  <c r="G13" i="2"/>
  <c r="H12" i="2"/>
  <c r="G12" i="2"/>
  <c r="I12" i="2" s="1"/>
  <c r="H11" i="2"/>
  <c r="G11" i="2"/>
  <c r="H10" i="2"/>
  <c r="G10" i="2"/>
  <c r="I10" i="2" s="1"/>
  <c r="H9" i="2"/>
  <c r="G9" i="2"/>
  <c r="H8" i="2"/>
  <c r="G8" i="2"/>
  <c r="I8" i="2" s="1"/>
  <c r="H7" i="2"/>
  <c r="G7" i="2"/>
  <c r="E36" i="1"/>
  <c r="E37" i="1" s="1"/>
  <c r="D36" i="1"/>
  <c r="D37" i="1" s="1"/>
  <c r="C36" i="1"/>
  <c r="C37" i="1" s="1"/>
  <c r="E34" i="1"/>
  <c r="D34" i="1"/>
  <c r="C34" i="1"/>
  <c r="E32" i="1"/>
  <c r="D32" i="1"/>
  <c r="C32" i="1"/>
  <c r="D22" i="1"/>
  <c r="D23" i="1" s="1"/>
  <c r="C22" i="1"/>
  <c r="C23" i="1" s="1"/>
  <c r="D21" i="1"/>
  <c r="C21" i="1"/>
  <c r="C9" i="1"/>
  <c r="I7" i="2" l="1"/>
  <c r="I25" i="2"/>
  <c r="I43" i="2"/>
  <c r="I61" i="2"/>
  <c r="I79" i="2"/>
  <c r="I97" i="2"/>
  <c r="I121" i="2"/>
  <c r="I13" i="2"/>
  <c r="I31" i="2"/>
  <c r="I49" i="2"/>
  <c r="I67" i="2"/>
  <c r="I85" i="2"/>
  <c r="I109" i="2"/>
  <c r="C35" i="1"/>
  <c r="I9" i="2"/>
  <c r="I15" i="2"/>
  <c r="I117" i="2"/>
  <c r="D35" i="1"/>
  <c r="I11" i="2"/>
  <c r="I23" i="2"/>
  <c r="I35" i="2"/>
  <c r="I47" i="2"/>
  <c r="I59" i="2"/>
  <c r="I71" i="2"/>
  <c r="I83" i="2"/>
  <c r="I95" i="2"/>
  <c r="I107" i="2"/>
  <c r="I113" i="2"/>
  <c r="I19" i="2"/>
  <c r="I37" i="2"/>
  <c r="I55" i="2"/>
  <c r="I73" i="2"/>
  <c r="I91" i="2"/>
  <c r="I103" i="2"/>
  <c r="I115" i="2"/>
  <c r="I21" i="2"/>
  <c r="I27" i="2"/>
  <c r="I33" i="2"/>
  <c r="I39" i="2"/>
  <c r="I45" i="2"/>
  <c r="I51" i="2"/>
  <c r="I57" i="2"/>
  <c r="I63" i="2"/>
  <c r="I69" i="2"/>
  <c r="I75" i="2"/>
  <c r="I81" i="2"/>
  <c r="I87" i="2"/>
  <c r="I93" i="2"/>
  <c r="I99" i="2"/>
  <c r="I105" i="2"/>
  <c r="I111" i="2"/>
  <c r="E35" i="1"/>
  <c r="I17" i="2"/>
  <c r="I29" i="2"/>
  <c r="I41" i="2"/>
  <c r="I53" i="2"/>
  <c r="I65" i="2"/>
  <c r="I77" i="2"/>
  <c r="I89" i="2"/>
  <c r="I101" i="2"/>
  <c r="I119" i="2"/>
  <c r="C24" i="1"/>
  <c r="C25" i="1" l="1"/>
  <c r="D44" i="1" l="1"/>
  <c r="C48" i="1"/>
  <c r="C46" i="1"/>
  <c r="D47" i="1"/>
  <c r="E47" i="1"/>
  <c r="E44" i="1"/>
  <c r="D46" i="1"/>
  <c r="D48" i="1"/>
  <c r="C44" i="1"/>
  <c r="C45" i="1"/>
  <c r="C26" i="1"/>
  <c r="E45" i="1"/>
  <c r="D45" i="1"/>
  <c r="E46" i="1"/>
  <c r="E48" i="1"/>
  <c r="C47" i="1"/>
  <c r="D31" i="1" l="1"/>
  <c r="C31" i="1"/>
  <c r="E31" i="1"/>
  <c r="C33" i="1" l="1"/>
  <c r="C38" i="1" s="1"/>
  <c r="C39" i="1" s="1"/>
  <c r="C40" i="1" s="1"/>
  <c r="D33" i="1"/>
  <c r="D38" i="1" s="1"/>
  <c r="D39" i="1" s="1"/>
  <c r="D40" i="1" s="1"/>
  <c r="E33" i="1"/>
  <c r="E38" i="1" s="1"/>
  <c r="E39" i="1" s="1"/>
  <c r="E40" i="1" s="1"/>
</calcChain>
</file>

<file path=xl/sharedStrings.xml><?xml version="1.0" encoding="utf-8"?>
<sst xmlns="http://schemas.openxmlformats.org/spreadsheetml/2006/main" count="86" uniqueCount="79">
  <si>
    <t>Cyclicals - implied cost of equity, 10 years</t>
  </si>
  <si>
    <t>Monthly 12m fwd consensus of the Ibovespa members (Bloomberg BEST_PE_RATIO / BEST_ROE), aggregated by box: P/E = sum of weights / sum of earnings; ROE = sum of earnings / sum of book value.</t>
  </si>
  <si>
    <t>Legend:</t>
  </si>
  <si>
    <t>input</t>
  </si>
  <si>
    <t>assumption</t>
  </si>
  <si>
    <t>formula</t>
  </si>
  <si>
    <t>Implied Ke = g + (1 - g / ROE) / (P/E)   (Gordon in value-driver form, g from DCF Cyclicals)</t>
  </si>
  <si>
    <t>Month-end</t>
  </si>
  <si>
    <t>Cyclicals P/E</t>
  </si>
  <si>
    <t>Cyclicals ROE</t>
  </si>
  <si>
    <t>Ibovespa P/E</t>
  </si>
  <si>
    <t>Ibovespa ROE</t>
  </si>
  <si>
    <t>Cyclicals implied Ke</t>
  </si>
  <si>
    <t>Ibovespa implied Ke</t>
  </si>
  <si>
    <t>Spread, Cyclicals - Ibovespa</t>
  </si>
  <si>
    <t>Cyclicals - simplified DCF (FCFE)</t>
  </si>
  <si>
    <t>Value = earnings x (1 - g / ROE) / (Ke - g): the cash left to shareholders after the reinvestment that funds growth g, discounted at the box's cost of equity. No net debt (equity flows).</t>
  </si>
  <si>
    <t>1. Assumptions</t>
  </si>
  <si>
    <t>Item</t>
  </si>
  <si>
    <t>Value</t>
  </si>
  <si>
    <t>Source / note</t>
  </si>
  <si>
    <t>Pricing date</t>
  </si>
  <si>
    <t>Close of Oct-5-2026, as in the multiples model.</t>
  </si>
  <si>
    <t>Target date</t>
  </si>
  <si>
    <t>End-2027, as the house target model rolled to 2027.</t>
  </si>
  <si>
    <t>Years from pricing to target</t>
  </si>
  <si>
    <t>Cyclicals, index points today</t>
  </si>
  <si>
    <t>Members' weight x Ibovespa close 208,432 (Box Shares sheet of Ibov_house_2027_by_box_XP.xlsx).</t>
  </si>
  <si>
    <t>Long-term nominal growth (g)</t>
  </si>
  <si>
    <t>House perpetuity growth (DCF Ibov 2026_Out.xlsx, Target!B54).</t>
  </si>
  <si>
    <t>Equity risk premium (ERP)</t>
  </si>
  <si>
    <t>House ERP (Target!B57).</t>
  </si>
  <si>
    <t>Share of the gap to the 10-year median spread closed by the target</t>
  </si>
  <si>
    <t>0% = Cyclicals keep today's spread to the Ibovespa; 100% = back to the 10-year median.</t>
  </si>
  <si>
    <t>Earnings level shock, Ibovespa ex-Commodities (bull +, bear -)</t>
  </si>
  <si>
    <t>Symmetric, as agreed (house bottom-up uses +/-20%).</t>
  </si>
  <si>
    <t>Earnings beta of Cyclicals to the Ibovespa ex-Commodities</t>
  </si>
  <si>
    <t>12-month log change of the 12m fwd EPS index, Oct-07 to Sep-26 (Box Earnings sheet).</t>
  </si>
  <si>
    <t>Normalization factor of the domestic earnings betas</t>
  </si>
  <si>
    <t>Makes the weighted average beta of Financials, Defensives and Cyclicals = 1 (Box Earnings!I16).</t>
  </si>
  <si>
    <t>Change in target price per 100 bp of Ke (analysts' models)</t>
  </si>
  <si>
    <t>XP analysts' models, Ke -100 bp, Cyclicals box (Ke_sensitivity_by_box_2026-10-06.xlsx).</t>
  </si>
  <si>
    <t>2. Cost of equity the market implies today (12m fwd consensus, last month of History)</t>
  </si>
  <si>
    <t>Cyclicals</t>
  </si>
  <si>
    <t>Ibovespa</t>
  </si>
  <si>
    <t>Note</t>
  </si>
  <si>
    <t>P/E, 12m fwd</t>
  </si>
  <si>
    <t>History, Sep-26.</t>
  </si>
  <si>
    <t>ROE, 12m fwd</t>
  </si>
  <si>
    <t>Implied Ke = g + (1 - g / ROE) / (P/E)</t>
  </si>
  <si>
    <t>The discount rate at which the value-driver formula gives today's price.</t>
  </si>
  <si>
    <t>Spread to the Ibovespa today (pp)</t>
  </si>
  <si>
    <t>Spread to the Ibovespa, 10-year median (pp)</t>
  </si>
  <si>
    <t>Median, not average: the Cyclicals series is noisy when ROE is close to g.</t>
  </si>
  <si>
    <t>Spread used = today + share closed x (median - today) (pp)</t>
  </si>
  <si>
    <t>3. Scenarios</t>
  </si>
  <si>
    <t>Bear</t>
  </si>
  <si>
    <t>Base</t>
  </si>
  <si>
    <t>Bull</t>
  </si>
  <si>
    <t>5-year real rate (NTN-B)</t>
  </si>
  <si>
    <t>Bear 8.5% as the house; base = today's 5y real rate; bull 5.5%.</t>
  </si>
  <si>
    <t>Fair Ke of Cyclicals = real rate + ERP + spread used</t>
  </si>
  <si>
    <t>Change in the real rate vs the base (pp)</t>
  </si>
  <si>
    <t>Base valuation factor = (implied Ke - g) / (fair Ke base - g)</t>
  </si>
  <si>
    <t>Same in every scenario: how far today's price is from the base fair value.</t>
  </si>
  <si>
    <t>Effective Ke - g from the analysts' sensitivity = 1% / sensitivity (pp)</t>
  </si>
  <si>
    <t>Gordon form that reproduces the analysts' change per 100 bp of Ke.</t>
  </si>
  <si>
    <t>Rate factor = (Ke - g) / (Ke - g + change in the real rate)</t>
  </si>
  <si>
    <t>Earnings shock, Ibovespa ex-Commodities</t>
  </si>
  <si>
    <t>Earnings shock of Cyclicals = beta x normalization x shock</t>
  </si>
  <si>
    <t>Moves the level of earnings and of the value one to one.</t>
  </si>
  <si>
    <t>Fair value today (index pts)</t>
  </si>
  <si>
    <t>Points x base factor x rate factor x (1 + earnings shock).</t>
  </si>
  <si>
    <t>Fair value at the target date (index pts) = today x (1 + g) ^ years</t>
  </si>
  <si>
    <t>In the Gordon model the value grows at g once the dividends are paid.</t>
  </si>
  <si>
    <t>Upside vs today</t>
  </si>
  <si>
    <t>4. Base upside: share of the gap closed (rows) x 5-year real rate (columns)</t>
  </si>
  <si>
    <t>Share closed \ real rate</t>
  </si>
  <si>
    <t>Columns move the real rate in the base (no earnings shock); the base valuation factor uses the base real rate (D30) and the rate effect uses the analysts' sensitivity, as in section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</si>
</sst>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409]d\-mmm\-yy"/>
    <numFmt numFmtId="165" formatCode="#,##0.0"/>
    <numFmt numFmtId="166" formatCode="0.0%"/>
    <numFmt numFmtId="167" formatCode="0.000"/>
    <numFmt numFmtId="168" formatCode="0.0&quot;x&quot;"/>
    <numFmt numFmtId="169" formatCode="\+0.0&quot; pp&quot;;\-0.0&quot; pp&quot;;0.0&quot; pp&quot;"/>
    <numFmt numFmtId="170" formatCode="\+0.0%;\-0.0%;0.0%"/>
    <numFmt numFmtId="171" formatCode="[$-409]mmm\-yy"/>
    <numFmt numFmtId="172" formatCode="\+0.00&quot; pp&quot;;\-0.00&quot; pp&quot;"/>
  </numFmts>
  <fonts count="12" x14ac:knownFonts="1">
    <font>
      <sz val="11"/>
      <color theme="1"/>
      <name val="Calibri"/>
      <family val="2"/>
      <scheme val="minor"/>
    </font>
    <font>
      <b/>
      <sz val="18"/>
      <color rgb="FF1D1E1F"/>
      <name val="Roboto"/>
      <family val="2"/>
    </font>
    <font>
      <i/>
      <sz val="10"/>
      <color rgb="FF74797C"/>
      <name val="Roboto"/>
      <family val="2"/>
    </font>
    <font>
      <i/>
      <sz val="10"/>
      <color rgb="FF0070C0"/>
      <name val="Roboto"/>
      <family val="2"/>
    </font>
    <font>
      <b/>
      <i/>
      <sz val="10"/>
      <color rgb="FF0070C0"/>
      <name val="Roboto"/>
      <family val="2"/>
    </font>
    <font>
      <i/>
      <sz val="10"/>
      <color rgb="FF18191A"/>
      <name val="Roboto"/>
      <family val="2"/>
    </font>
    <font>
      <b/>
      <sz val="10"/>
      <color rgb="FFFFFFFF"/>
      <name val="Roboto"/>
      <family val="2"/>
    </font>
    <font>
      <sz val="10"/>
      <color rgb="FF18191A"/>
      <name val="Roboto"/>
      <family val="2"/>
    </font>
    <font>
      <sz val="10"/>
      <color rgb="FF0070C0"/>
      <name val="Roboto"/>
      <family val="2"/>
    </font>
    <font>
      <b/>
      <sz val="10"/>
      <color rgb="FF0070C0"/>
      <name val="Roboto"/>
      <family val="2"/>
    </font>
    <font>
      <b/>
      <sz val="10"/>
      <color rgb="FF18191A"/>
      <name val="Roboto"/>
      <family val="2"/>
    </font>
    <font>
      <sz val="10"/>
      <color rgb="FF18191A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1F2F44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9" fillId="2" borderId="1" xfId="0" applyNumberFormat="1" applyFont="1" applyFill="1" applyBorder="1" applyAlignment="1">
      <alignment vertical="center"/>
    </xf>
    <xf numFmtId="2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6" fontId="9" fillId="2" borderId="1" xfId="0" applyNumberFormat="1" applyFont="1" applyFill="1" applyBorder="1" applyAlignment="1">
      <alignment vertical="center"/>
    </xf>
    <xf numFmtId="9" fontId="9" fillId="2" borderId="1" xfId="0" applyNumberFormat="1" applyFont="1" applyFill="1" applyBorder="1" applyAlignment="1">
      <alignment vertical="center"/>
    </xf>
    <xf numFmtId="2" fontId="8" fillId="0" borderId="0" xfId="0" applyNumberFormat="1" applyFont="1" applyAlignment="1">
      <alignment vertical="center"/>
    </xf>
    <xf numFmtId="167" fontId="8" fillId="0" borderId="0" xfId="0" applyNumberFormat="1" applyFont="1" applyAlignment="1">
      <alignment vertical="center"/>
    </xf>
    <xf numFmtId="166" fontId="8" fillId="0" borderId="0" xfId="0" applyNumberFormat="1" applyFont="1" applyAlignment="1">
      <alignment vertical="center"/>
    </xf>
    <xf numFmtId="168" fontId="7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10" fontId="7" fillId="0" borderId="0" xfId="0" applyNumberFormat="1" applyFont="1" applyAlignment="1">
      <alignment vertical="center"/>
    </xf>
    <xf numFmtId="169" fontId="7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69" fontId="10" fillId="0" borderId="0" xfId="0" applyNumberFormat="1" applyFont="1" applyAlignment="1">
      <alignment vertical="center"/>
    </xf>
    <xf numFmtId="10" fontId="9" fillId="2" borderId="1" xfId="0" applyNumberFormat="1" applyFont="1" applyFill="1" applyBorder="1" applyAlignment="1">
      <alignment vertical="center"/>
    </xf>
    <xf numFmtId="167" fontId="7" fillId="0" borderId="0" xfId="0" applyNumberFormat="1" applyFont="1" applyAlignment="1">
      <alignment vertical="center"/>
    </xf>
    <xf numFmtId="170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170" fontId="10" fillId="0" borderId="0" xfId="0" applyNumberFormat="1" applyFont="1" applyAlignment="1">
      <alignment vertical="center"/>
    </xf>
    <xf numFmtId="10" fontId="6" fillId="3" borderId="0" xfId="0" applyNumberFormat="1" applyFont="1" applyFill="1" applyAlignment="1">
      <alignment horizontal="center" vertical="center"/>
    </xf>
    <xf numFmtId="9" fontId="10" fillId="0" borderId="0" xfId="0" applyNumberFormat="1" applyFont="1" applyAlignment="1">
      <alignment horizontal="left" vertical="center"/>
    </xf>
    <xf numFmtId="170" fontId="11" fillId="0" borderId="0" xfId="0" applyNumberFormat="1" applyFont="1" applyAlignment="1">
      <alignment vertical="center"/>
    </xf>
    <xf numFmtId="171" fontId="11" fillId="0" borderId="0" xfId="0" applyNumberFormat="1" applyFont="1" applyAlignment="1">
      <alignment vertical="center"/>
    </xf>
    <xf numFmtId="168" fontId="8" fillId="0" borderId="0" xfId="0" applyNumberFormat="1" applyFont="1" applyAlignment="1">
      <alignment vertical="center"/>
    </xf>
    <xf numFmtId="10" fontId="11" fillId="0" borderId="0" xfId="0" applyNumberFormat="1" applyFont="1" applyAlignment="1">
      <alignment vertical="center"/>
    </xf>
    <xf numFmtId="172" fontId="11" fillId="0" borderId="0" xfId="0" applyNumberFormat="1" applyFont="1" applyAlignment="1">
      <alignment vertical="center"/>
    </xf>
    <xf numFmtId="0" fontId="6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50"/>
  <sheetViews>
    <sheetView showGridLines="0" tabSelected="1" zoomScale="85" zoomScaleNormal="85" workbookViewId="0"/>
  </sheetViews>
  <sheetFormatPr defaultRowHeight="13.95" customHeight="1" x14ac:dyDescent="0.3"/>
  <cols>
    <col min="1" max="1" width="2.6640625" customWidth="1"/>
    <col min="2" max="2" width="72.6640625" customWidth="1"/>
    <col min="3" max="5" width="13.6640625" customWidth="1"/>
    <col min="6" max="6" width="95.6640625" customWidth="1"/>
  </cols>
  <sheetData>
    <row r="1" spans="2:6" ht="30" customHeight="1" x14ac:dyDescent="0.3">
      <c r="B1" s="1" t="s">
        <v>15</v>
      </c>
    </row>
    <row r="2" spans="2:6" ht="13.95" customHeight="1" x14ac:dyDescent="0.3">
      <c r="B2" s="2" t="s">
        <v>16</v>
      </c>
    </row>
    <row r="3" spans="2: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6" ht="13.95" customHeight="1" x14ac:dyDescent="0.3">
      <c r="B5" s="37" t="s">
        <v>17</v>
      </c>
      <c r="C5" s="37"/>
      <c r="D5" s="37"/>
      <c r="E5" s="37"/>
      <c r="F5" s="37"/>
    </row>
    <row r="6" spans="2:6" ht="13.95" customHeight="1" x14ac:dyDescent="0.3">
      <c r="B6" s="6" t="s">
        <v>18</v>
      </c>
      <c r="C6" s="7" t="s">
        <v>19</v>
      </c>
      <c r="D6" s="7"/>
      <c r="E6" s="7"/>
      <c r="F6" s="7" t="s">
        <v>20</v>
      </c>
    </row>
    <row r="7" spans="2:6" ht="13.95" customHeight="1" x14ac:dyDescent="0.3">
      <c r="B7" s="8" t="s">
        <v>21</v>
      </c>
      <c r="C7" s="9">
        <v>46300</v>
      </c>
      <c r="F7" s="2" t="s">
        <v>22</v>
      </c>
    </row>
    <row r="8" spans="2:6" ht="13.95" customHeight="1" x14ac:dyDescent="0.3">
      <c r="B8" s="8" t="s">
        <v>23</v>
      </c>
      <c r="C8" s="10">
        <v>46752</v>
      </c>
      <c r="F8" s="2" t="s">
        <v>24</v>
      </c>
    </row>
    <row r="9" spans="2:6" ht="13.95" customHeight="1" x14ac:dyDescent="0.3">
      <c r="B9" s="8" t="s">
        <v>25</v>
      </c>
      <c r="C9" s="11">
        <f>(C8-C7)/365</f>
        <v>1.2383561643835617</v>
      </c>
    </row>
    <row r="10" spans="2:6" ht="13.95" customHeight="1" x14ac:dyDescent="0.3">
      <c r="B10" s="8" t="s">
        <v>26</v>
      </c>
      <c r="C10" s="12">
        <v>26271.0746</v>
      </c>
      <c r="F10" s="2" t="s">
        <v>27</v>
      </c>
    </row>
    <row r="11" spans="2:6" ht="13.95" customHeight="1" x14ac:dyDescent="0.3">
      <c r="B11" s="8" t="s">
        <v>28</v>
      </c>
      <c r="C11" s="13">
        <v>4.7E-2</v>
      </c>
      <c r="F11" s="2" t="s">
        <v>29</v>
      </c>
    </row>
    <row r="12" spans="2:6" ht="13.95" customHeight="1" x14ac:dyDescent="0.3">
      <c r="B12" s="8" t="s">
        <v>30</v>
      </c>
      <c r="C12" s="13">
        <v>0.06</v>
      </c>
      <c r="F12" s="2" t="s">
        <v>31</v>
      </c>
    </row>
    <row r="13" spans="2:6" ht="13.95" customHeight="1" x14ac:dyDescent="0.3">
      <c r="B13" s="8" t="s">
        <v>32</v>
      </c>
      <c r="C13" s="14">
        <v>0.5</v>
      </c>
      <c r="F13" s="2" t="s">
        <v>33</v>
      </c>
    </row>
    <row r="14" spans="2:6" ht="13.95" customHeight="1" x14ac:dyDescent="0.3">
      <c r="B14" s="8" t="s">
        <v>34</v>
      </c>
      <c r="C14" s="13">
        <v>0.2</v>
      </c>
      <c r="F14" s="2" t="s">
        <v>35</v>
      </c>
    </row>
    <row r="15" spans="2:6" ht="13.95" customHeight="1" x14ac:dyDescent="0.3">
      <c r="B15" s="8" t="s">
        <v>36</v>
      </c>
      <c r="C15" s="15">
        <v>1.4906999999999999</v>
      </c>
      <c r="F15" s="2" t="s">
        <v>37</v>
      </c>
    </row>
    <row r="16" spans="2:6" ht="13.95" customHeight="1" x14ac:dyDescent="0.3">
      <c r="B16" s="8" t="s">
        <v>38</v>
      </c>
      <c r="C16" s="16">
        <v>1.1869000000000001</v>
      </c>
      <c r="F16" s="2" t="s">
        <v>39</v>
      </c>
    </row>
    <row r="17" spans="2:6" ht="13.95" customHeight="1" x14ac:dyDescent="0.3">
      <c r="B17" s="8" t="s">
        <v>40</v>
      </c>
      <c r="C17" s="17">
        <v>0.17399999999999999</v>
      </c>
      <c r="F17" s="2" t="s">
        <v>41</v>
      </c>
    </row>
    <row r="19" spans="2:6" ht="13.95" customHeight="1" x14ac:dyDescent="0.3">
      <c r="B19" s="37" t="s">
        <v>42</v>
      </c>
      <c r="C19" s="37"/>
      <c r="D19" s="37"/>
      <c r="E19" s="37"/>
      <c r="F19" s="37"/>
    </row>
    <row r="20" spans="2:6" ht="13.95" customHeight="1" x14ac:dyDescent="0.3">
      <c r="B20" s="6" t="s">
        <v>18</v>
      </c>
      <c r="C20" s="7" t="s">
        <v>43</v>
      </c>
      <c r="D20" s="7" t="s">
        <v>44</v>
      </c>
      <c r="E20" s="7"/>
      <c r="F20" s="7" t="s">
        <v>45</v>
      </c>
    </row>
    <row r="21" spans="2:6" ht="13.95" customHeight="1" x14ac:dyDescent="0.3">
      <c r="B21" s="8" t="s">
        <v>46</v>
      </c>
      <c r="C21" s="18">
        <f>History!C126</f>
        <v>11.44981242526598</v>
      </c>
      <c r="D21" s="18">
        <f>History!E126</f>
        <v>8.6012907352146541</v>
      </c>
      <c r="F21" s="2" t="s">
        <v>47</v>
      </c>
    </row>
    <row r="22" spans="2:6" ht="13.95" customHeight="1" x14ac:dyDescent="0.3">
      <c r="B22" s="8" t="s">
        <v>48</v>
      </c>
      <c r="C22" s="19">
        <f>History!D126</f>
        <v>0.1555264604909791</v>
      </c>
      <c r="D22" s="19">
        <f>History!F126</f>
        <v>0.17214752470900399</v>
      </c>
    </row>
    <row r="23" spans="2:6" ht="13.95" customHeight="1" x14ac:dyDescent="0.3">
      <c r="B23" s="8" t="s">
        <v>49</v>
      </c>
      <c r="C23" s="20">
        <f>gLT+(1-gLT/C22)/C21</f>
        <v>0.10794428394613824</v>
      </c>
      <c r="D23" s="20">
        <f>gLT+(1-gLT/D22)/D21</f>
        <v>0.13151968193839825</v>
      </c>
      <c r="F23" s="2" t="s">
        <v>50</v>
      </c>
    </row>
    <row r="24" spans="2:6" ht="13.95" customHeight="1" x14ac:dyDescent="0.3">
      <c r="B24" s="8" t="s">
        <v>51</v>
      </c>
      <c r="C24" s="21">
        <f>(C23-D23)*100</f>
        <v>-2.357539799226001</v>
      </c>
    </row>
    <row r="25" spans="2:6" ht="13.95" customHeight="1" x14ac:dyDescent="0.3">
      <c r="B25" s="8" t="s">
        <v>52</v>
      </c>
      <c r="C25" s="21">
        <f>MEDIAN(History!I7:I126)</f>
        <v>-3.9232759087309685</v>
      </c>
      <c r="F25" s="2" t="s">
        <v>53</v>
      </c>
    </row>
    <row r="26" spans="2:6" ht="13.95" customHeight="1" x14ac:dyDescent="0.3">
      <c r="B26" s="22" t="s">
        <v>54</v>
      </c>
      <c r="C26" s="23">
        <f>C24+C13*(C25-C24)</f>
        <v>-3.140407853978485</v>
      </c>
    </row>
    <row r="28" spans="2:6" ht="13.95" customHeight="1" x14ac:dyDescent="0.3">
      <c r="B28" s="37" t="s">
        <v>55</v>
      </c>
      <c r="C28" s="37"/>
      <c r="D28" s="37"/>
      <c r="E28" s="37"/>
      <c r="F28" s="37"/>
    </row>
    <row r="29" spans="2:6" ht="13.95" customHeight="1" x14ac:dyDescent="0.3">
      <c r="B29" s="6" t="s">
        <v>18</v>
      </c>
      <c r="C29" s="7" t="s">
        <v>56</v>
      </c>
      <c r="D29" s="7" t="s">
        <v>57</v>
      </c>
      <c r="E29" s="7" t="s">
        <v>58</v>
      </c>
      <c r="F29" s="7" t="s">
        <v>45</v>
      </c>
    </row>
    <row r="30" spans="2:6" ht="13.95" customHeight="1" x14ac:dyDescent="0.3">
      <c r="B30" s="8" t="s">
        <v>59</v>
      </c>
      <c r="C30" s="24">
        <v>8.5000000000000006E-2</v>
      </c>
      <c r="D30" s="24">
        <v>6.7599999999999993E-2</v>
      </c>
      <c r="E30" s="24">
        <v>5.5E-2</v>
      </c>
      <c r="F30" s="2" t="s">
        <v>60</v>
      </c>
    </row>
    <row r="31" spans="2:6" ht="13.95" customHeight="1" x14ac:dyDescent="0.3">
      <c r="B31" s="8" t="s">
        <v>61</v>
      </c>
      <c r="C31" s="20">
        <f>C30+ERP+$C$26/100</f>
        <v>0.11359592146021516</v>
      </c>
      <c r="D31" s="20">
        <f>D30+ERP+$C$26/100</f>
        <v>9.6195921460215134E-2</v>
      </c>
      <c r="E31" s="20">
        <f>E30+ERP+$C$26/100</f>
        <v>8.3595921460215133E-2</v>
      </c>
    </row>
    <row r="32" spans="2:6" ht="13.95" customHeight="1" x14ac:dyDescent="0.3">
      <c r="B32" s="8" t="s">
        <v>62</v>
      </c>
      <c r="C32" s="21">
        <f>(C30-$D$30)*100</f>
        <v>1.7400000000000013</v>
      </c>
      <c r="D32" s="21">
        <f>(D30-$D$30)*100</f>
        <v>0</v>
      </c>
      <c r="E32" s="21">
        <f>(E30-$D$30)*100</f>
        <v>-1.2599999999999993</v>
      </c>
    </row>
    <row r="33" spans="2:6" ht="13.95" customHeight="1" x14ac:dyDescent="0.3">
      <c r="B33" s="8" t="s">
        <v>63</v>
      </c>
      <c r="C33" s="25">
        <f>($C$23-gLT)/($D$31-gLT)</f>
        <v>1.2388076518787037</v>
      </c>
      <c r="D33" s="25">
        <f>($C$23-gLT)/($D$31-gLT)</f>
        <v>1.2388076518787037</v>
      </c>
      <c r="E33" s="25">
        <f>($C$23-gLT)/($D$31-gLT)</f>
        <v>1.2388076518787037</v>
      </c>
      <c r="F33" s="2" t="s">
        <v>64</v>
      </c>
    </row>
    <row r="34" spans="2:6" ht="13.95" customHeight="1" x14ac:dyDescent="0.3">
      <c r="B34" s="8" t="s">
        <v>65</v>
      </c>
      <c r="C34" s="11">
        <f>1/$C$17</f>
        <v>5.7471264367816097</v>
      </c>
      <c r="D34" s="11">
        <f>1/$C$17</f>
        <v>5.7471264367816097</v>
      </c>
      <c r="E34" s="11">
        <f>1/$C$17</f>
        <v>5.7471264367816097</v>
      </c>
      <c r="F34" s="2" t="s">
        <v>66</v>
      </c>
    </row>
    <row r="35" spans="2:6" ht="13.95" customHeight="1" x14ac:dyDescent="0.3">
      <c r="B35" s="8" t="s">
        <v>67</v>
      </c>
      <c r="C35" s="25">
        <f>C34/(C34+C32)</f>
        <v>0.76760109306395641</v>
      </c>
      <c r="D35" s="25">
        <f>D34/(D34+D32)</f>
        <v>1</v>
      </c>
      <c r="E35" s="25">
        <f>E34/(E34+E32)</f>
        <v>1.2808033198422049</v>
      </c>
    </row>
    <row r="36" spans="2:6" ht="13.95" customHeight="1" x14ac:dyDescent="0.3">
      <c r="B36" s="8" t="s">
        <v>68</v>
      </c>
      <c r="C36" s="26">
        <f>-$C$14</f>
        <v>-0.2</v>
      </c>
      <c r="D36" s="26">
        <f>0</f>
        <v>0</v>
      </c>
      <c r="E36" s="26">
        <f>$C$14</f>
        <v>0.2</v>
      </c>
    </row>
    <row r="37" spans="2:6" ht="13.95" customHeight="1" x14ac:dyDescent="0.3">
      <c r="B37" s="8" t="s">
        <v>69</v>
      </c>
      <c r="C37" s="26">
        <f>$C$15*$C$16*C36</f>
        <v>-0.35386236599999998</v>
      </c>
      <c r="D37" s="26">
        <f>$C$15*$C$16*D36</f>
        <v>0</v>
      </c>
      <c r="E37" s="26">
        <f>$C$15*$C$16*E36</f>
        <v>0.35386236599999998</v>
      </c>
      <c r="F37" s="2" t="s">
        <v>70</v>
      </c>
    </row>
    <row r="38" spans="2:6" ht="13.95" customHeight="1" x14ac:dyDescent="0.3">
      <c r="B38" s="8" t="s">
        <v>71</v>
      </c>
      <c r="C38" s="27">
        <f>$C$10*C33*C35*(1+C37)</f>
        <v>16141.442317539919</v>
      </c>
      <c r="D38" s="27">
        <f>$C$10*D33*D35*(1+D37)</f>
        <v>32544.808237556255</v>
      </c>
      <c r="E38" s="27">
        <f>$C$10*E33*E35*(1+E37)</f>
        <v>56433.719813405136</v>
      </c>
      <c r="F38" s="2" t="s">
        <v>72</v>
      </c>
    </row>
    <row r="39" spans="2:6" ht="13.95" customHeight="1" x14ac:dyDescent="0.3">
      <c r="B39" s="22" t="s">
        <v>73</v>
      </c>
      <c r="C39" s="28">
        <f>C38*(1+gLT)^$C$9</f>
        <v>17086.119311407641</v>
      </c>
      <c r="D39" s="28">
        <f>D38*(1+gLT)^$C$9</f>
        <v>34449.49128923424</v>
      </c>
      <c r="E39" s="28">
        <f>E38*(1+gLT)^$C$9</f>
        <v>59736.500056789606</v>
      </c>
      <c r="F39" s="2" t="s">
        <v>74</v>
      </c>
    </row>
    <row r="40" spans="2:6" ht="13.95" customHeight="1" x14ac:dyDescent="0.3">
      <c r="B40" s="22" t="s">
        <v>75</v>
      </c>
      <c r="C40" s="29">
        <f>C39/$C$10-1</f>
        <v>-0.34962236712587158</v>
      </c>
      <c r="D40" s="29">
        <f>D39/$C$10-1</f>
        <v>0.31130879926907284</v>
      </c>
      <c r="E40" s="29">
        <f>E39/$C$10-1</f>
        <v>1.2738506500525717</v>
      </c>
    </row>
    <row r="42" spans="2:6" ht="13.95" customHeight="1" x14ac:dyDescent="0.3">
      <c r="B42" s="37" t="s">
        <v>76</v>
      </c>
      <c r="C42" s="37"/>
      <c r="D42" s="37"/>
      <c r="E42" s="37"/>
      <c r="F42" s="37"/>
    </row>
    <row r="43" spans="2:6" ht="13.95" customHeight="1" x14ac:dyDescent="0.3">
      <c r="B43" s="6" t="s">
        <v>77</v>
      </c>
      <c r="C43" s="30">
        <v>8.5000000000000006E-2</v>
      </c>
      <c r="D43" s="30">
        <v>6.7599999999999993E-2</v>
      </c>
      <c r="E43" s="30">
        <v>5.5E-2</v>
      </c>
    </row>
    <row r="44" spans="2:6" ht="13.95" customHeight="1" x14ac:dyDescent="0.3">
      <c r="B44" s="31">
        <v>0</v>
      </c>
      <c r="C44" s="32">
        <f t="shared" ref="C44:E48" si="0">($C$23-gLT)/($D$30+ERP+($C$24+$B44*($C$25-$C$24))/100-gLT)*(1/$C$17)/(1/$C$17+(C$43-$D$30)*100)*(1+gLT)^$C$9-1</f>
        <v>-0.1316248306498401</v>
      </c>
      <c r="D44" s="32">
        <f t="shared" si="0"/>
        <v>0.13128443562261438</v>
      </c>
      <c r="E44" s="32">
        <f t="shared" si="0"/>
        <v>0.44895286083125963</v>
      </c>
    </row>
    <row r="45" spans="2:6" ht="13.95" customHeight="1" x14ac:dyDescent="0.3">
      <c r="B45" s="31">
        <v>0.25</v>
      </c>
      <c r="C45" s="32">
        <f t="shared" si="0"/>
        <v>-6.7623716982799453E-2</v>
      </c>
      <c r="D45" s="32">
        <f t="shared" si="0"/>
        <v>0.21466252646348849</v>
      </c>
      <c r="E45" s="32">
        <f t="shared" si="0"/>
        <v>0.55574379638235616</v>
      </c>
    </row>
    <row r="46" spans="2:6" ht="13.95" customHeight="1" x14ac:dyDescent="0.3">
      <c r="B46" s="31">
        <v>0.5</v>
      </c>
      <c r="C46" s="32">
        <f t="shared" si="0"/>
        <v>6.5620676633246777E-3</v>
      </c>
      <c r="D46" s="32">
        <f t="shared" si="0"/>
        <v>0.31130879926907284</v>
      </c>
      <c r="E46" s="32">
        <f t="shared" si="0"/>
        <v>0.67952866344212426</v>
      </c>
    </row>
    <row r="47" spans="2:6" ht="13.95" customHeight="1" x14ac:dyDescent="0.3">
      <c r="B47" s="31">
        <v>0.75</v>
      </c>
      <c r="C47" s="32">
        <f t="shared" si="0"/>
        <v>9.3573747385208739E-2</v>
      </c>
      <c r="D47" s="32">
        <f t="shared" si="0"/>
        <v>0.42466413514355494</v>
      </c>
      <c r="E47" s="32">
        <f t="shared" si="0"/>
        <v>0.82471455395198867</v>
      </c>
    </row>
    <row r="48" spans="2:6" ht="13.95" customHeight="1" x14ac:dyDescent="0.3">
      <c r="B48" s="31">
        <v>1</v>
      </c>
      <c r="C48" s="32">
        <f t="shared" si="0"/>
        <v>0.19705224068752725</v>
      </c>
      <c r="D48" s="32">
        <f t="shared" si="0"/>
        <v>0.55947177707808327</v>
      </c>
      <c r="E48" s="32">
        <f t="shared" si="0"/>
        <v>0.99737662928183179</v>
      </c>
    </row>
    <row r="50" spans="2:2" ht="13.95" customHeight="1" x14ac:dyDescent="0.3">
      <c r="B50" s="2" t="s">
        <v>78</v>
      </c>
    </row>
  </sheetData>
  <mergeCells count="4">
    <mergeCell ref="B5:F5"/>
    <mergeCell ref="B19:F19"/>
    <mergeCell ref="B28:F28"/>
    <mergeCell ref="B42:F42"/>
  </mergeCells>
  <conditionalFormatting sqref="C44:E48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I126"/>
  <sheetViews>
    <sheetView showGridLines="0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3.95" customHeight="1" x14ac:dyDescent="0.3"/>
  <cols>
    <col min="1" max="1" width="2.6640625" customWidth="1"/>
    <col min="2" max="2" width="11.6640625" customWidth="1"/>
    <col min="3" max="6" width="12.6640625" customWidth="1"/>
    <col min="7" max="9" width="14.6640625" customWidth="1"/>
  </cols>
  <sheetData>
    <row r="1" spans="2:9" ht="30" customHeight="1" x14ac:dyDescent="0.3">
      <c r="B1" s="1" t="s">
        <v>0</v>
      </c>
    </row>
    <row r="2" spans="2:9" ht="13.95" customHeight="1" x14ac:dyDescent="0.3">
      <c r="B2" s="2" t="s">
        <v>1</v>
      </c>
    </row>
    <row r="3" spans="2:9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9" ht="13.95" customHeight="1" x14ac:dyDescent="0.3">
      <c r="B5" s="37" t="s">
        <v>6</v>
      </c>
      <c r="C5" s="37"/>
      <c r="D5" s="37"/>
      <c r="E5" s="37"/>
      <c r="F5" s="37"/>
      <c r="G5" s="37"/>
      <c r="H5" s="37"/>
      <c r="I5" s="37"/>
    </row>
    <row r="6" spans="2:9" ht="30" customHeight="1" x14ac:dyDescent="0.3">
      <c r="B6" s="6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</row>
    <row r="7" spans="2:9" ht="13.95" customHeight="1" x14ac:dyDescent="0.3">
      <c r="B7" s="33">
        <v>42674</v>
      </c>
      <c r="C7" s="34">
        <v>16.387867677701699</v>
      </c>
      <c r="D7" s="17">
        <v>0.12969841210813141</v>
      </c>
      <c r="E7" s="34">
        <v>14.194436817917801</v>
      </c>
      <c r="F7" s="17">
        <v>9.8549835535188951E-2</v>
      </c>
      <c r="G7" s="35">
        <f t="shared" ref="G7:G38" si="0">gLT+(1-gLT/D7)/C7</f>
        <v>8.590810355144235E-2</v>
      </c>
      <c r="H7" s="35">
        <f t="shared" ref="H7:H38" si="1">gLT+(1-gLT/F7)/E7</f>
        <v>8.3851334038433409E-2</v>
      </c>
      <c r="I7" s="36">
        <f t="shared" ref="I7:I38" si="2">(G7-H7)*100</f>
        <v>0.20567695130089408</v>
      </c>
    </row>
    <row r="8" spans="2:9" ht="13.95" customHeight="1" x14ac:dyDescent="0.3">
      <c r="B8" s="33">
        <v>42704</v>
      </c>
      <c r="C8" s="34">
        <v>14.51982462432842</v>
      </c>
      <c r="D8" s="17">
        <v>0.1233429541387592</v>
      </c>
      <c r="E8" s="34">
        <v>13.28674453467468</v>
      </c>
      <c r="F8" s="17">
        <v>9.6239988505501139E-2</v>
      </c>
      <c r="G8" s="35">
        <f t="shared" si="0"/>
        <v>8.9627831907564043E-2</v>
      </c>
      <c r="H8" s="35">
        <f t="shared" si="1"/>
        <v>8.5507364469275954E-2</v>
      </c>
      <c r="I8" s="36">
        <f t="shared" si="2"/>
        <v>0.4120467438288089</v>
      </c>
    </row>
    <row r="9" spans="2:9" ht="13.95" customHeight="1" x14ac:dyDescent="0.3">
      <c r="B9" s="33">
        <v>42735</v>
      </c>
      <c r="C9" s="34">
        <v>14.432757030091439</v>
      </c>
      <c r="D9" s="17">
        <v>0.1299814855022583</v>
      </c>
      <c r="E9" s="34">
        <v>12.32715924439885</v>
      </c>
      <c r="F9" s="17">
        <v>0.1089076816665452</v>
      </c>
      <c r="G9" s="35">
        <f t="shared" si="0"/>
        <v>9.1233408750176631E-2</v>
      </c>
      <c r="H9" s="35">
        <f t="shared" si="1"/>
        <v>9.3112962190562198E-2</v>
      </c>
      <c r="I9" s="36">
        <f t="shared" si="2"/>
        <v>-0.18795534403855674</v>
      </c>
    </row>
    <row r="10" spans="2:9" ht="13.95" customHeight="1" x14ac:dyDescent="0.3">
      <c r="B10" s="33">
        <v>42766</v>
      </c>
      <c r="C10" s="34">
        <v>14.86778458155476</v>
      </c>
      <c r="D10" s="17">
        <v>0.13186067522917719</v>
      </c>
      <c r="E10" s="34">
        <v>12.62248856969533</v>
      </c>
      <c r="F10" s="17">
        <v>0.12246585640014621</v>
      </c>
      <c r="G10" s="35">
        <f t="shared" si="0"/>
        <v>9.0285748099384888E-2</v>
      </c>
      <c r="H10" s="35">
        <f t="shared" si="1"/>
        <v>9.5819181627570124E-2</v>
      </c>
      <c r="I10" s="36">
        <f t="shared" si="2"/>
        <v>-0.55334335281852365</v>
      </c>
    </row>
    <row r="11" spans="2:9" ht="13.95" customHeight="1" x14ac:dyDescent="0.3">
      <c r="B11" s="33">
        <v>42794</v>
      </c>
      <c r="C11" s="34">
        <v>15.53076031009293</v>
      </c>
      <c r="D11" s="17">
        <v>0.13527686860556171</v>
      </c>
      <c r="E11" s="34">
        <v>12.4955542212408</v>
      </c>
      <c r="F11" s="17">
        <v>0.1226862334499092</v>
      </c>
      <c r="G11" s="35">
        <f t="shared" si="0"/>
        <v>8.9017543703288043E-2</v>
      </c>
      <c r="H11" s="35">
        <f t="shared" si="1"/>
        <v>9.6370273836392101E-2</v>
      </c>
      <c r="I11" s="36">
        <f t="shared" si="2"/>
        <v>-0.73527301331040573</v>
      </c>
    </row>
    <row r="12" spans="2:9" ht="13.95" customHeight="1" x14ac:dyDescent="0.3">
      <c r="B12" s="33">
        <v>42825</v>
      </c>
      <c r="C12" s="34">
        <v>15.55267502247203</v>
      </c>
      <c r="D12" s="17">
        <v>0.1394997583751823</v>
      </c>
      <c r="E12" s="34">
        <v>11.679568942023691</v>
      </c>
      <c r="F12" s="17">
        <v>0.1246601332910849</v>
      </c>
      <c r="G12" s="35">
        <f t="shared" si="0"/>
        <v>8.9634585545544015E-2</v>
      </c>
      <c r="H12" s="35">
        <f t="shared" si="1"/>
        <v>0.10033886009287299</v>
      </c>
      <c r="I12" s="36">
        <f t="shared" si="2"/>
        <v>-1.0704274547328974</v>
      </c>
    </row>
    <row r="13" spans="2:9" ht="13.95" customHeight="1" x14ac:dyDescent="0.3">
      <c r="B13" s="33">
        <v>42855</v>
      </c>
      <c r="C13" s="34">
        <v>15.98598466333115</v>
      </c>
      <c r="D13" s="17">
        <v>0.12926377216038401</v>
      </c>
      <c r="E13" s="34">
        <v>11.839827406328601</v>
      </c>
      <c r="F13" s="17">
        <v>0.1195617818594181</v>
      </c>
      <c r="G13" s="35">
        <f t="shared" si="0"/>
        <v>8.6810020633981286E-2</v>
      </c>
      <c r="H13" s="35">
        <f t="shared" si="1"/>
        <v>9.8259006982400143E-2</v>
      </c>
      <c r="I13" s="36">
        <f t="shared" si="2"/>
        <v>-1.1448986348418857</v>
      </c>
    </row>
    <row r="14" spans="2:9" ht="13.95" customHeight="1" x14ac:dyDescent="0.3">
      <c r="B14" s="33">
        <v>42886</v>
      </c>
      <c r="C14" s="34">
        <v>15.363661855508861</v>
      </c>
      <c r="D14" s="17">
        <v>0.12867473758031259</v>
      </c>
      <c r="E14" s="34">
        <v>11.13979907104572</v>
      </c>
      <c r="F14" s="17">
        <v>0.1232241938865153</v>
      </c>
      <c r="G14" s="35">
        <f t="shared" si="0"/>
        <v>8.8314235094614751E-2</v>
      </c>
      <c r="H14" s="35">
        <f t="shared" si="1"/>
        <v>0.10252895453014538</v>
      </c>
      <c r="I14" s="36">
        <f t="shared" si="2"/>
        <v>-1.4214719435530627</v>
      </c>
    </row>
    <row r="15" spans="2:9" ht="13.95" customHeight="1" x14ac:dyDescent="0.3">
      <c r="B15" s="33">
        <v>42916</v>
      </c>
      <c r="C15" s="34">
        <v>15.34997069236486</v>
      </c>
      <c r="D15" s="17">
        <v>0.134950759381399</v>
      </c>
      <c r="E15" s="34">
        <v>10.87666070442434</v>
      </c>
      <c r="F15" s="17">
        <v>8.1225867386679279E-2</v>
      </c>
      <c r="G15" s="35">
        <f t="shared" si="0"/>
        <v>8.9457724068036856E-2</v>
      </c>
      <c r="H15" s="35">
        <f t="shared" si="1"/>
        <v>8.5740437819991772E-2</v>
      </c>
      <c r="I15" s="36">
        <f t="shared" si="2"/>
        <v>0.37172862480450847</v>
      </c>
    </row>
    <row r="16" spans="2:9" ht="13.95" customHeight="1" x14ac:dyDescent="0.3">
      <c r="B16" s="33">
        <v>42947</v>
      </c>
      <c r="C16" s="34">
        <v>16.329288284823189</v>
      </c>
      <c r="D16" s="17">
        <v>0.13807288760662051</v>
      </c>
      <c r="E16" s="34">
        <v>11.48786757955112</v>
      </c>
      <c r="F16" s="17">
        <v>0.1226124155605479</v>
      </c>
      <c r="G16" s="35">
        <f t="shared" si="0"/>
        <v>8.7393682059978689E-2</v>
      </c>
      <c r="H16" s="35">
        <f t="shared" si="1"/>
        <v>0.10068083260478392</v>
      </c>
      <c r="I16" s="36">
        <f t="shared" si="2"/>
        <v>-1.3287150544805226</v>
      </c>
    </row>
    <row r="17" spans="2:9" ht="13.95" customHeight="1" x14ac:dyDescent="0.3">
      <c r="B17" s="33">
        <v>42978</v>
      </c>
      <c r="C17" s="34">
        <v>16.972937554106831</v>
      </c>
      <c r="D17" s="17">
        <v>0.1364248097851152</v>
      </c>
      <c r="E17" s="34">
        <v>12.333127121434419</v>
      </c>
      <c r="F17" s="17">
        <v>0.12070712249814659</v>
      </c>
      <c r="G17" s="35">
        <f t="shared" si="0"/>
        <v>8.5619589633980198E-2</v>
      </c>
      <c r="H17" s="35">
        <f t="shared" si="1"/>
        <v>9.6511188534428957E-2</v>
      </c>
      <c r="I17" s="36">
        <f t="shared" si="2"/>
        <v>-1.089159890044876</v>
      </c>
    </row>
    <row r="18" spans="2:9" ht="13.95" customHeight="1" x14ac:dyDescent="0.3">
      <c r="B18" s="33">
        <v>43008</v>
      </c>
      <c r="C18" s="34">
        <v>18.268506537736862</v>
      </c>
      <c r="D18" s="17">
        <v>0.13379352709927991</v>
      </c>
      <c r="E18" s="34">
        <v>12.79982009231899</v>
      </c>
      <c r="F18" s="17">
        <v>0.12129484956295419</v>
      </c>
      <c r="G18" s="35">
        <f t="shared" si="0"/>
        <v>8.2509878774459089E-2</v>
      </c>
      <c r="H18" s="35">
        <f t="shared" si="1"/>
        <v>9.485336496201735E-2</v>
      </c>
      <c r="I18" s="36">
        <f t="shared" si="2"/>
        <v>-1.2343486187558261</v>
      </c>
    </row>
    <row r="19" spans="2:9" ht="13.95" customHeight="1" x14ac:dyDescent="0.3">
      <c r="B19" s="33">
        <v>43039</v>
      </c>
      <c r="C19" s="34">
        <v>17.554255524861109</v>
      </c>
      <c r="D19" s="17">
        <v>0.13085221112698331</v>
      </c>
      <c r="E19" s="34">
        <v>12.75890251032342</v>
      </c>
      <c r="F19" s="17">
        <v>0.11947825485194</v>
      </c>
      <c r="G19" s="35">
        <f t="shared" si="0"/>
        <v>8.3504889457312714E-2</v>
      </c>
      <c r="H19" s="35">
        <f t="shared" si="1"/>
        <v>9.4545075153665975E-2</v>
      </c>
      <c r="I19" s="36">
        <f t="shared" si="2"/>
        <v>-1.104018569635326</v>
      </c>
    </row>
    <row r="20" spans="2:9" ht="13.95" customHeight="1" x14ac:dyDescent="0.3">
      <c r="B20" s="33">
        <v>43069</v>
      </c>
      <c r="C20" s="34">
        <v>17.12857110754366</v>
      </c>
      <c r="D20" s="17">
        <v>0.13164359425959499</v>
      </c>
      <c r="E20" s="34">
        <v>11.99200629480876</v>
      </c>
      <c r="F20" s="17">
        <v>0.11815065808242051</v>
      </c>
      <c r="G20" s="35">
        <f t="shared" si="0"/>
        <v>8.4538181555753489E-2</v>
      </c>
      <c r="H20" s="35">
        <f t="shared" si="1"/>
        <v>9.7217019016593811E-2</v>
      </c>
      <c r="I20" s="36">
        <f t="shared" si="2"/>
        <v>-1.2678837460840322</v>
      </c>
    </row>
    <row r="21" spans="2:9" ht="13.95" customHeight="1" x14ac:dyDescent="0.3">
      <c r="B21" s="33">
        <v>43100</v>
      </c>
      <c r="C21" s="34">
        <v>18.088557989308232</v>
      </c>
      <c r="D21" s="17">
        <v>0.1347164026469711</v>
      </c>
      <c r="E21" s="34">
        <v>12.40629599159006</v>
      </c>
      <c r="F21" s="17">
        <v>0.12503867310944669</v>
      </c>
      <c r="G21" s="35">
        <f t="shared" si="0"/>
        <v>8.2996177829211454E-2</v>
      </c>
      <c r="H21" s="35">
        <f t="shared" si="1"/>
        <v>9.730641644831596E-2</v>
      </c>
      <c r="I21" s="36">
        <f t="shared" si="2"/>
        <v>-1.4310238619104507</v>
      </c>
    </row>
    <row r="22" spans="2:9" ht="13.95" customHeight="1" x14ac:dyDescent="0.3">
      <c r="B22" s="33">
        <v>43131</v>
      </c>
      <c r="C22" s="34">
        <v>18.413134540723711</v>
      </c>
      <c r="D22" s="17">
        <v>0.1334831404836897</v>
      </c>
      <c r="E22" s="34">
        <v>13.12327208413485</v>
      </c>
      <c r="F22" s="17">
        <v>0.1284352944121076</v>
      </c>
      <c r="G22" s="35">
        <f t="shared" si="0"/>
        <v>8.2186600452727632E-2</v>
      </c>
      <c r="H22" s="35">
        <f t="shared" si="1"/>
        <v>9.5315463714651771E-2</v>
      </c>
      <c r="I22" s="36">
        <f t="shared" si="2"/>
        <v>-1.312886326192414</v>
      </c>
    </row>
    <row r="23" spans="2:9" ht="13.95" customHeight="1" x14ac:dyDescent="0.3">
      <c r="B23" s="33">
        <v>43159</v>
      </c>
      <c r="C23" s="34">
        <v>17.567785896563549</v>
      </c>
      <c r="D23" s="17">
        <v>0.12985354459124279</v>
      </c>
      <c r="E23" s="34">
        <v>12.71452809743159</v>
      </c>
      <c r="F23" s="17">
        <v>0.13335339311838151</v>
      </c>
      <c r="G23" s="35">
        <f t="shared" si="0"/>
        <v>8.3319532855083839E-2</v>
      </c>
      <c r="H23" s="35">
        <f t="shared" si="1"/>
        <v>9.7930165879297787E-2</v>
      </c>
      <c r="I23" s="36">
        <f t="shared" si="2"/>
        <v>-1.4610633024213948</v>
      </c>
    </row>
    <row r="24" spans="2:9" ht="13.95" customHeight="1" x14ac:dyDescent="0.3">
      <c r="B24" s="33">
        <v>43190</v>
      </c>
      <c r="C24" s="34">
        <v>16.96931643832627</v>
      </c>
      <c r="D24" s="17">
        <v>0.12850352021023201</v>
      </c>
      <c r="E24" s="34">
        <v>12.25858367083201</v>
      </c>
      <c r="F24" s="17">
        <v>0.1354839578971779</v>
      </c>
      <c r="G24" s="35">
        <f t="shared" si="0"/>
        <v>8.4376359088675829E-2</v>
      </c>
      <c r="H24" s="35">
        <f t="shared" si="1"/>
        <v>0.10027658383821313</v>
      </c>
      <c r="I24" s="36">
        <f t="shared" si="2"/>
        <v>-1.5900224749537297</v>
      </c>
    </row>
    <row r="25" spans="2:9" ht="13.95" customHeight="1" x14ac:dyDescent="0.3">
      <c r="B25" s="33">
        <v>43220</v>
      </c>
      <c r="C25" s="34">
        <v>16.628368875425519</v>
      </c>
      <c r="D25" s="17">
        <v>0.12987658079349551</v>
      </c>
      <c r="E25" s="34">
        <v>12.34425333439706</v>
      </c>
      <c r="F25" s="17">
        <v>0.14006104868810951</v>
      </c>
      <c r="G25" s="35">
        <f t="shared" si="0"/>
        <v>8.5375259787912952E-2</v>
      </c>
      <c r="H25" s="35">
        <f t="shared" si="1"/>
        <v>0.10082521119266905</v>
      </c>
      <c r="I25" s="36">
        <f t="shared" si="2"/>
        <v>-1.5449951404756093</v>
      </c>
    </row>
    <row r="26" spans="2:9" ht="13.95" customHeight="1" x14ac:dyDescent="0.3">
      <c r="B26" s="33">
        <v>43251</v>
      </c>
      <c r="C26" s="34">
        <v>14.83986336125052</v>
      </c>
      <c r="D26" s="17">
        <v>0.13946899378326089</v>
      </c>
      <c r="E26" s="34">
        <v>10.653034903284251</v>
      </c>
      <c r="F26" s="17">
        <v>0.14262208868226109</v>
      </c>
      <c r="G26" s="35">
        <f t="shared" si="0"/>
        <v>9.1677468983636323E-2</v>
      </c>
      <c r="H26" s="35">
        <f t="shared" si="1"/>
        <v>0.10993584731125391</v>
      </c>
      <c r="I26" s="36">
        <f t="shared" si="2"/>
        <v>-1.825837832761759</v>
      </c>
    </row>
    <row r="27" spans="2:9" ht="13.95" customHeight="1" x14ac:dyDescent="0.3">
      <c r="B27" s="33">
        <v>43281</v>
      </c>
      <c r="C27" s="34">
        <v>14.520048748202321</v>
      </c>
      <c r="D27" s="17">
        <v>0.13974916998072409</v>
      </c>
      <c r="E27" s="34">
        <v>9.9383964097414275</v>
      </c>
      <c r="F27" s="17">
        <v>0.14086225683852971</v>
      </c>
      <c r="G27" s="35">
        <f t="shared" si="0"/>
        <v>9.2708052781001679E-2</v>
      </c>
      <c r="H27" s="35">
        <f t="shared" si="1"/>
        <v>0.11404710567175468</v>
      </c>
      <c r="I27" s="36">
        <f t="shared" si="2"/>
        <v>-2.1339052890752996</v>
      </c>
    </row>
    <row r="28" spans="2:9" ht="13.95" customHeight="1" x14ac:dyDescent="0.3">
      <c r="B28" s="33">
        <v>43312</v>
      </c>
      <c r="C28" s="34">
        <v>14.832643423693829</v>
      </c>
      <c r="D28" s="17">
        <v>0.14069265073950829</v>
      </c>
      <c r="E28" s="34">
        <v>10.59045116108077</v>
      </c>
      <c r="F28" s="17">
        <v>0.14408497864645689</v>
      </c>
      <c r="G28" s="35">
        <f t="shared" si="0"/>
        <v>9.1896817537596251E-2</v>
      </c>
      <c r="H28" s="35">
        <f t="shared" si="1"/>
        <v>0.11062369260497543</v>
      </c>
      <c r="I28" s="36">
        <f t="shared" si="2"/>
        <v>-1.8726875067379176</v>
      </c>
    </row>
    <row r="29" spans="2:9" ht="13.95" customHeight="1" x14ac:dyDescent="0.3">
      <c r="B29" s="33">
        <v>43343</v>
      </c>
      <c r="C29" s="34">
        <v>14.17448835585248</v>
      </c>
      <c r="D29" s="17">
        <v>0.1388786921294338</v>
      </c>
      <c r="E29" s="34">
        <v>9.9618656087128823</v>
      </c>
      <c r="F29" s="17">
        <v>0.14791629783153151</v>
      </c>
      <c r="G29" s="35">
        <f t="shared" si="0"/>
        <v>9.3673653211775634E-2</v>
      </c>
      <c r="H29" s="35">
        <f t="shared" si="1"/>
        <v>0.1154864417581223</v>
      </c>
      <c r="I29" s="36">
        <f t="shared" si="2"/>
        <v>-2.181278854634666</v>
      </c>
    </row>
    <row r="30" spans="2:9" ht="13.95" customHeight="1" x14ac:dyDescent="0.3">
      <c r="B30" s="33">
        <v>43373</v>
      </c>
      <c r="C30" s="34">
        <v>12.084558279480211</v>
      </c>
      <c r="D30" s="17">
        <v>7.7193827049485172E-2</v>
      </c>
      <c r="E30" s="34">
        <v>9.9153023851691753</v>
      </c>
      <c r="F30" s="17">
        <v>0.13896417598430669</v>
      </c>
      <c r="G30" s="35">
        <f t="shared" si="0"/>
        <v>7.9367176051546418E-2</v>
      </c>
      <c r="H30" s="35">
        <f t="shared" si="1"/>
        <v>0.11374363629208417</v>
      </c>
      <c r="I30" s="36">
        <f t="shared" si="2"/>
        <v>-3.4376460240537754</v>
      </c>
    </row>
    <row r="31" spans="2:9" ht="13.95" customHeight="1" x14ac:dyDescent="0.3">
      <c r="B31" s="33">
        <v>43404</v>
      </c>
      <c r="C31" s="34">
        <v>16.67410343160503</v>
      </c>
      <c r="D31" s="17">
        <v>0.13411562383055359</v>
      </c>
      <c r="E31" s="34">
        <v>10.867066427183561</v>
      </c>
      <c r="F31" s="17">
        <v>0.1580616283651772</v>
      </c>
      <c r="G31" s="35">
        <f t="shared" si="0"/>
        <v>8.595598462376694E-2</v>
      </c>
      <c r="H31" s="35">
        <f t="shared" si="1"/>
        <v>0.11165844608990677</v>
      </c>
      <c r="I31" s="36">
        <f t="shared" si="2"/>
        <v>-2.5702461466139832</v>
      </c>
    </row>
    <row r="32" spans="2:9" ht="13.95" customHeight="1" x14ac:dyDescent="0.3">
      <c r="B32" s="33">
        <v>43434</v>
      </c>
      <c r="C32" s="34">
        <v>13.35124490309774</v>
      </c>
      <c r="D32" s="17">
        <v>6.538075598161773E-2</v>
      </c>
      <c r="E32" s="34">
        <v>10.76319938477045</v>
      </c>
      <c r="F32" s="17">
        <v>0.13762959404429301</v>
      </c>
      <c r="G32" s="35">
        <f t="shared" si="0"/>
        <v>6.805676592174896E-2</v>
      </c>
      <c r="H32" s="35">
        <f t="shared" si="1"/>
        <v>0.1081810350857985</v>
      </c>
      <c r="I32" s="36">
        <f t="shared" si="2"/>
        <v>-4.0124269164049542</v>
      </c>
    </row>
    <row r="33" spans="2:9" ht="13.95" customHeight="1" x14ac:dyDescent="0.3">
      <c r="B33" s="33">
        <v>43465</v>
      </c>
      <c r="C33" s="34">
        <v>16.469191150278881</v>
      </c>
      <c r="D33" s="17">
        <v>0.13508101739706471</v>
      </c>
      <c r="E33" s="34">
        <v>10.755949569645701</v>
      </c>
      <c r="F33" s="17">
        <v>0.15895126939122139</v>
      </c>
      <c r="G33" s="35">
        <f t="shared" si="0"/>
        <v>8.6592755609165656E-2</v>
      </c>
      <c r="H33" s="35">
        <f t="shared" si="1"/>
        <v>0.11248114493607743</v>
      </c>
      <c r="I33" s="36">
        <f t="shared" si="2"/>
        <v>-2.5888389326911772</v>
      </c>
    </row>
    <row r="34" spans="2:9" ht="13.95" customHeight="1" x14ac:dyDescent="0.3">
      <c r="B34" s="33">
        <v>43496</v>
      </c>
      <c r="C34" s="34">
        <v>19.922046138799171</v>
      </c>
      <c r="D34" s="17">
        <v>0.14879649190196659</v>
      </c>
      <c r="E34" s="34">
        <v>11.954608926453449</v>
      </c>
      <c r="F34" s="17">
        <v>0.15358675718961221</v>
      </c>
      <c r="G34" s="35">
        <f t="shared" si="0"/>
        <v>8.1340465497703685E-2</v>
      </c>
      <c r="H34" s="35">
        <f t="shared" si="1"/>
        <v>0.10505158808608782</v>
      </c>
      <c r="I34" s="36">
        <f t="shared" si="2"/>
        <v>-2.3711122588384135</v>
      </c>
    </row>
    <row r="35" spans="2:9" ht="13.95" customHeight="1" x14ac:dyDescent="0.3">
      <c r="B35" s="33">
        <v>43524</v>
      </c>
      <c r="C35" s="34">
        <v>18.72221060301684</v>
      </c>
      <c r="D35" s="17">
        <v>0.1319807100487802</v>
      </c>
      <c r="E35" s="34">
        <v>11.44631125595723</v>
      </c>
      <c r="F35" s="17">
        <v>0.15539838201851411</v>
      </c>
      <c r="G35" s="35">
        <f t="shared" si="0"/>
        <v>8.1391630706257101E-2</v>
      </c>
      <c r="H35" s="35">
        <f t="shared" si="1"/>
        <v>0.10794116549405214</v>
      </c>
      <c r="I35" s="36">
        <f t="shared" si="2"/>
        <v>-2.6549534787795039</v>
      </c>
    </row>
    <row r="36" spans="2:9" ht="13.95" customHeight="1" x14ac:dyDescent="0.3">
      <c r="B36" s="33">
        <v>43555</v>
      </c>
      <c r="C36" s="34">
        <v>17.593991216663241</v>
      </c>
      <c r="D36" s="17">
        <v>0.12770503517023521</v>
      </c>
      <c r="E36" s="34">
        <v>10.98393769533082</v>
      </c>
      <c r="F36" s="17">
        <v>0.1586005268060206</v>
      </c>
      <c r="G36" s="35">
        <f t="shared" si="0"/>
        <v>8.2919330996659851E-2</v>
      </c>
      <c r="H36" s="35">
        <f t="shared" si="1"/>
        <v>0.1110624521539498</v>
      </c>
      <c r="I36" s="36">
        <f t="shared" si="2"/>
        <v>-2.8143121157289954</v>
      </c>
    </row>
    <row r="37" spans="2:9" ht="13.95" customHeight="1" x14ac:dyDescent="0.3">
      <c r="B37" s="33">
        <v>43585</v>
      </c>
      <c r="C37" s="34">
        <v>17.859627076151298</v>
      </c>
      <c r="D37" s="17">
        <v>0.1203157706546038</v>
      </c>
      <c r="E37" s="34">
        <v>10.889426346529561</v>
      </c>
      <c r="F37" s="17">
        <v>0.1588722541606585</v>
      </c>
      <c r="G37" s="35">
        <f t="shared" si="0"/>
        <v>8.1119484473787723E-2</v>
      </c>
      <c r="H37" s="35">
        <f t="shared" si="1"/>
        <v>0.11166500709887302</v>
      </c>
      <c r="I37" s="36">
        <f t="shared" si="2"/>
        <v>-3.0545522625085293</v>
      </c>
    </row>
    <row r="38" spans="2:9" ht="13.95" customHeight="1" x14ac:dyDescent="0.3">
      <c r="B38" s="33">
        <v>43616</v>
      </c>
      <c r="C38" s="34">
        <v>19.76146599844661</v>
      </c>
      <c r="D38" s="17">
        <v>0.13692164402609019</v>
      </c>
      <c r="E38" s="34">
        <v>10.907534066737851</v>
      </c>
      <c r="F38" s="17">
        <v>0.1547723003109476</v>
      </c>
      <c r="G38" s="35">
        <f t="shared" si="0"/>
        <v>8.0233262190965771E-2</v>
      </c>
      <c r="H38" s="35">
        <f t="shared" si="1"/>
        <v>0.1108391854717958</v>
      </c>
      <c r="I38" s="36">
        <f t="shared" si="2"/>
        <v>-3.0605923280830032</v>
      </c>
    </row>
    <row r="39" spans="2:9" ht="13.95" customHeight="1" x14ac:dyDescent="0.3">
      <c r="B39" s="33">
        <v>43646</v>
      </c>
      <c r="C39" s="34">
        <v>21.007029315231598</v>
      </c>
      <c r="D39" s="17">
        <v>0.13584433381515471</v>
      </c>
      <c r="E39" s="34">
        <v>11.580710569141401</v>
      </c>
      <c r="F39" s="17">
        <v>0.15545981918096921</v>
      </c>
      <c r="G39" s="35">
        <f t="shared" ref="G39:G70" si="3">gLT+(1-gLT/D39)/C39</f>
        <v>7.8133185936522229E-2</v>
      </c>
      <c r="H39" s="35">
        <f t="shared" ref="H39:H70" si="4">gLT+(1-gLT/F39)/E39</f>
        <v>0.10724423725319837</v>
      </c>
      <c r="I39" s="36">
        <f t="shared" ref="I39:I70" si="5">(G39-H39)*100</f>
        <v>-2.9111051316676142</v>
      </c>
    </row>
    <row r="40" spans="2:9" ht="13.95" customHeight="1" x14ac:dyDescent="0.3">
      <c r="B40" s="33">
        <v>43677</v>
      </c>
      <c r="C40" s="34">
        <v>22.755047324308759</v>
      </c>
      <c r="D40" s="17">
        <v>0.13591114353598369</v>
      </c>
      <c r="E40" s="34">
        <v>11.6888402465809</v>
      </c>
      <c r="F40" s="17">
        <v>0.15987812834547399</v>
      </c>
      <c r="G40" s="35">
        <f t="shared" si="3"/>
        <v>7.5749042596747085E-2</v>
      </c>
      <c r="H40" s="35">
        <f t="shared" si="4"/>
        <v>0.10740172213893856</v>
      </c>
      <c r="I40" s="36">
        <f t="shared" si="5"/>
        <v>-3.1652679542191473</v>
      </c>
    </row>
    <row r="41" spans="2:9" ht="13.95" customHeight="1" x14ac:dyDescent="0.3">
      <c r="B41" s="33">
        <v>43708</v>
      </c>
      <c r="C41" s="34">
        <v>22.73294941155287</v>
      </c>
      <c r="D41" s="17">
        <v>0.1336984876082721</v>
      </c>
      <c r="E41" s="34">
        <v>11.59489954124022</v>
      </c>
      <c r="F41" s="17">
        <v>0.15326348421698649</v>
      </c>
      <c r="G41" s="35">
        <f t="shared" si="3"/>
        <v>7.5525235694675064E-2</v>
      </c>
      <c r="H41" s="35">
        <f t="shared" si="4"/>
        <v>0.10679685831292168</v>
      </c>
      <c r="I41" s="36">
        <f t="shared" si="5"/>
        <v>-3.1271622618246617</v>
      </c>
    </row>
    <row r="42" spans="2:9" ht="13.95" customHeight="1" x14ac:dyDescent="0.3">
      <c r="B42" s="33">
        <v>43738</v>
      </c>
      <c r="C42" s="34">
        <v>23.41561048307301</v>
      </c>
      <c r="D42" s="17">
        <v>0.13348839011113281</v>
      </c>
      <c r="E42" s="34">
        <v>12.043711228543319</v>
      </c>
      <c r="F42" s="17">
        <v>0.15236366185351941</v>
      </c>
      <c r="G42" s="35">
        <f t="shared" si="3"/>
        <v>7.4669979207189929E-2</v>
      </c>
      <c r="H42" s="35">
        <f t="shared" si="4"/>
        <v>0.10441814003877319</v>
      </c>
      <c r="I42" s="36">
        <f t="shared" si="5"/>
        <v>-2.9748160831583257</v>
      </c>
    </row>
    <row r="43" spans="2:9" ht="13.95" customHeight="1" x14ac:dyDescent="0.3">
      <c r="B43" s="33">
        <v>43769</v>
      </c>
      <c r="C43" s="34">
        <v>23.21596989092545</v>
      </c>
      <c r="D43" s="17">
        <v>0.13546389700049161</v>
      </c>
      <c r="E43" s="34">
        <v>12.445782221851079</v>
      </c>
      <c r="F43" s="17">
        <v>0.1540528193224267</v>
      </c>
      <c r="G43" s="35">
        <f t="shared" si="3"/>
        <v>7.5129089179921851E-2</v>
      </c>
      <c r="H43" s="35">
        <f t="shared" si="4"/>
        <v>0.10283496666099742</v>
      </c>
      <c r="I43" s="36">
        <f t="shared" si="5"/>
        <v>-2.7705877481075571</v>
      </c>
    </row>
    <row r="44" spans="2:9" ht="13.95" customHeight="1" x14ac:dyDescent="0.3">
      <c r="B44" s="33">
        <v>43799</v>
      </c>
      <c r="C44" s="34">
        <v>24.459639582687121</v>
      </c>
      <c r="D44" s="17">
        <v>0.1421134420285492</v>
      </c>
      <c r="E44" s="34">
        <v>12.41483122767306</v>
      </c>
      <c r="F44" s="17">
        <v>0.15497348918495479</v>
      </c>
      <c r="G44" s="35">
        <f t="shared" si="3"/>
        <v>7.436255747717449E-2</v>
      </c>
      <c r="H44" s="35">
        <f t="shared" si="4"/>
        <v>0.10312016054914111</v>
      </c>
      <c r="I44" s="36">
        <f t="shared" si="5"/>
        <v>-2.875760307196662</v>
      </c>
    </row>
    <row r="45" spans="2:9" ht="13.95" customHeight="1" x14ac:dyDescent="0.3">
      <c r="B45" s="33">
        <v>43830</v>
      </c>
      <c r="C45" s="34">
        <v>26.871397417376141</v>
      </c>
      <c r="D45" s="17">
        <v>0.13835911137797691</v>
      </c>
      <c r="E45" s="34">
        <v>13.059863017247119</v>
      </c>
      <c r="F45" s="17">
        <v>0.15444334239043539</v>
      </c>
      <c r="G45" s="35">
        <f t="shared" si="3"/>
        <v>7.1572754999896751E-2</v>
      </c>
      <c r="H45" s="35">
        <f t="shared" si="4"/>
        <v>0.10026865073711552</v>
      </c>
      <c r="I45" s="36">
        <f t="shared" si="5"/>
        <v>-2.8695895737218771</v>
      </c>
    </row>
    <row r="46" spans="2:9" ht="13.95" customHeight="1" x14ac:dyDescent="0.3">
      <c r="B46" s="33">
        <v>43861</v>
      </c>
      <c r="C46" s="34">
        <v>28.263785891309251</v>
      </c>
      <c r="D46" s="17">
        <v>0.1382151372750425</v>
      </c>
      <c r="E46" s="34">
        <v>13.123781019749311</v>
      </c>
      <c r="F46" s="17">
        <v>0.15717643407811141</v>
      </c>
      <c r="G46" s="35">
        <f t="shared" si="3"/>
        <v>7.0349682100348573E-2</v>
      </c>
      <c r="H46" s="35">
        <f t="shared" si="4"/>
        <v>0.1004124261428265</v>
      </c>
      <c r="I46" s="36">
        <f t="shared" si="5"/>
        <v>-3.0062744042477925</v>
      </c>
    </row>
    <row r="47" spans="2:9" ht="13.95" customHeight="1" x14ac:dyDescent="0.3">
      <c r="B47" s="33">
        <v>43890</v>
      </c>
      <c r="C47" s="34">
        <v>25.8197037344836</v>
      </c>
      <c r="D47" s="17">
        <v>0.1270097499079656</v>
      </c>
      <c r="E47" s="34">
        <v>11.09102952076015</v>
      </c>
      <c r="F47" s="17">
        <v>0.14638356949534659</v>
      </c>
      <c r="G47" s="35">
        <f t="shared" si="3"/>
        <v>7.1398020807218979E-2</v>
      </c>
      <c r="H47" s="35">
        <f t="shared" si="4"/>
        <v>0.10821394890567936</v>
      </c>
      <c r="I47" s="36">
        <f t="shared" si="5"/>
        <v>-3.6815928098460375</v>
      </c>
    </row>
    <row r="48" spans="2:9" ht="13.95" customHeight="1" x14ac:dyDescent="0.3">
      <c r="B48" s="33">
        <v>43921</v>
      </c>
      <c r="C48" s="34">
        <v>8.5145953832760846</v>
      </c>
      <c r="D48" s="17">
        <v>7.556408195974737E-2</v>
      </c>
      <c r="E48" s="34">
        <v>7.7958905815123876</v>
      </c>
      <c r="F48" s="17">
        <v>0.1158804487738983</v>
      </c>
      <c r="G48" s="35">
        <f t="shared" si="3"/>
        <v>9.1395693575629142E-2</v>
      </c>
      <c r="H48" s="35">
        <f t="shared" si="4"/>
        <v>0.12324652665637077</v>
      </c>
      <c r="I48" s="36">
        <f t="shared" si="5"/>
        <v>-3.1850833080741632</v>
      </c>
    </row>
    <row r="49" spans="2:9" ht="13.95" customHeight="1" x14ac:dyDescent="0.3">
      <c r="B49" s="33">
        <v>43951</v>
      </c>
      <c r="C49" s="34">
        <v>20.23950733071673</v>
      </c>
      <c r="D49" s="17">
        <v>0.1048900444790251</v>
      </c>
      <c r="E49" s="34">
        <v>9.612184558479127</v>
      </c>
      <c r="F49" s="17">
        <v>0.10612511415234679</v>
      </c>
      <c r="G49" s="35">
        <f t="shared" si="3"/>
        <v>7.4269029198994765E-2</v>
      </c>
      <c r="H49" s="35">
        <f t="shared" si="4"/>
        <v>0.10496044630723096</v>
      </c>
      <c r="I49" s="36">
        <f t="shared" si="5"/>
        <v>-3.0691417108236196</v>
      </c>
    </row>
    <row r="50" spans="2:9" ht="13.95" customHeight="1" x14ac:dyDescent="0.3">
      <c r="B50" s="33">
        <v>43982</v>
      </c>
      <c r="C50" s="34">
        <v>22.136506655889171</v>
      </c>
      <c r="D50" s="17">
        <v>0.1105635785212033</v>
      </c>
      <c r="E50" s="34">
        <v>11.08201737896359</v>
      </c>
      <c r="F50" s="17">
        <v>8.1998590428403156E-2</v>
      </c>
      <c r="G50" s="35">
        <f t="shared" si="3"/>
        <v>7.2970909942030301E-2</v>
      </c>
      <c r="H50" s="35">
        <f t="shared" si="4"/>
        <v>8.5514595382911077E-2</v>
      </c>
      <c r="I50" s="36">
        <f t="shared" si="5"/>
        <v>-1.2543685440880776</v>
      </c>
    </row>
    <row r="51" spans="2:9" ht="13.95" customHeight="1" x14ac:dyDescent="0.3">
      <c r="B51" s="33">
        <v>44012</v>
      </c>
      <c r="C51" s="34">
        <v>23.532367837209939</v>
      </c>
      <c r="D51" s="17">
        <v>8.6174702291958463E-2</v>
      </c>
      <c r="E51" s="34">
        <v>11.26700970707077</v>
      </c>
      <c r="F51" s="17">
        <v>0.12711042088134461</v>
      </c>
      <c r="G51" s="35">
        <f t="shared" si="3"/>
        <v>6.6317916508775554E-2</v>
      </c>
      <c r="H51" s="35">
        <f t="shared" si="4"/>
        <v>0.10293700225708985</v>
      </c>
      <c r="I51" s="36">
        <f t="shared" si="5"/>
        <v>-3.6619085748314295</v>
      </c>
    </row>
    <row r="52" spans="2:9" ht="13.95" customHeight="1" x14ac:dyDescent="0.3">
      <c r="B52" s="33">
        <v>44043</v>
      </c>
      <c r="C52" s="34">
        <v>28.96694711038646</v>
      </c>
      <c r="D52" s="17">
        <v>4.6332666355595319E-2</v>
      </c>
      <c r="E52" s="34">
        <v>13.81612182911957</v>
      </c>
      <c r="F52" s="17">
        <v>0.1166908388247401</v>
      </c>
      <c r="G52" s="35">
        <f t="shared" si="3"/>
        <v>4.6502774949249773E-2</v>
      </c>
      <c r="H52" s="35">
        <f t="shared" si="4"/>
        <v>9.0226769073194879E-2</v>
      </c>
      <c r="I52" s="36">
        <f t="shared" si="5"/>
        <v>-4.3723994123945102</v>
      </c>
    </row>
    <row r="53" spans="2:9" ht="13.95" customHeight="1" x14ac:dyDescent="0.3">
      <c r="B53" s="33">
        <v>44074</v>
      </c>
      <c r="C53" s="34">
        <v>28.494599275242638</v>
      </c>
      <c r="D53" s="17">
        <v>0.11336781233269271</v>
      </c>
      <c r="E53" s="34">
        <v>12.55345257179385</v>
      </c>
      <c r="F53" s="17">
        <v>0.13251478128782049</v>
      </c>
      <c r="G53" s="35">
        <f t="shared" si="3"/>
        <v>6.7544954435957483E-2</v>
      </c>
      <c r="H53" s="35">
        <f t="shared" si="4"/>
        <v>9.8405984280923314E-2</v>
      </c>
      <c r="I53" s="36">
        <f t="shared" si="5"/>
        <v>-3.0861029844965833</v>
      </c>
    </row>
    <row r="54" spans="2:9" ht="13.95" customHeight="1" x14ac:dyDescent="0.3">
      <c r="B54" s="33">
        <v>44104</v>
      </c>
      <c r="C54" s="34">
        <v>26.086120687451121</v>
      </c>
      <c r="D54" s="17">
        <v>0.1084872584373606</v>
      </c>
      <c r="E54" s="34">
        <v>10.98117767442211</v>
      </c>
      <c r="F54" s="17">
        <v>0.1200116051437122</v>
      </c>
      <c r="G54" s="35">
        <f t="shared" si="3"/>
        <v>6.8726856491674093E-2</v>
      </c>
      <c r="H54" s="35">
        <f t="shared" si="4"/>
        <v>0.10240127166753686</v>
      </c>
      <c r="I54" s="36">
        <f t="shared" si="5"/>
        <v>-3.3674415175862769</v>
      </c>
    </row>
    <row r="55" spans="2:9" ht="13.95" customHeight="1" x14ac:dyDescent="0.3">
      <c r="B55" s="33">
        <v>44135</v>
      </c>
      <c r="C55" s="34">
        <v>26.133947456749201</v>
      </c>
      <c r="D55" s="17">
        <v>9.5927247028040896E-2</v>
      </c>
      <c r="E55" s="34">
        <v>10.03862490479597</v>
      </c>
      <c r="F55" s="17">
        <v>0.13843651972587789</v>
      </c>
      <c r="G55" s="35">
        <f t="shared" si="3"/>
        <v>6.6516583118201772E-2</v>
      </c>
      <c r="H55" s="35">
        <f t="shared" si="4"/>
        <v>0.11279528732504847</v>
      </c>
      <c r="I55" s="36">
        <f t="shared" si="5"/>
        <v>-4.6278704206846699</v>
      </c>
    </row>
    <row r="56" spans="2:9" ht="13.95" customHeight="1" x14ac:dyDescent="0.3">
      <c r="B56" s="33">
        <v>44165</v>
      </c>
      <c r="C56" s="34">
        <v>23.898364996480431</v>
      </c>
      <c r="D56" s="17">
        <v>0.1040705780937069</v>
      </c>
      <c r="E56" s="34">
        <v>10.63316494150544</v>
      </c>
      <c r="F56" s="17">
        <v>0.14576659631800809</v>
      </c>
      <c r="G56" s="35">
        <f t="shared" si="3"/>
        <v>6.994648216386691E-2</v>
      </c>
      <c r="H56" s="35">
        <f t="shared" si="4"/>
        <v>0.11072201840538667</v>
      </c>
      <c r="I56" s="36">
        <f t="shared" si="5"/>
        <v>-4.0775536241519763</v>
      </c>
    </row>
    <row r="57" spans="2:9" ht="13.95" customHeight="1" x14ac:dyDescent="0.3">
      <c r="B57" s="33">
        <v>44196</v>
      </c>
      <c r="C57" s="34">
        <v>23.958638946829101</v>
      </c>
      <c r="D57" s="17">
        <v>8.3831604046340227E-2</v>
      </c>
      <c r="E57" s="34">
        <v>10.69503495686854</v>
      </c>
      <c r="F57" s="17">
        <v>0.15256484766554629</v>
      </c>
      <c r="G57" s="35">
        <f t="shared" si="3"/>
        <v>6.5337947043291253E-2</v>
      </c>
      <c r="H57" s="35">
        <f t="shared" si="4"/>
        <v>0.11169677569535912</v>
      </c>
      <c r="I57" s="36">
        <f t="shared" si="5"/>
        <v>-4.6358828652067867</v>
      </c>
    </row>
    <row r="58" spans="2:9" ht="13.95" customHeight="1" x14ac:dyDescent="0.3">
      <c r="B58" s="33">
        <v>44227</v>
      </c>
      <c r="C58" s="34">
        <v>23.840331270557829</v>
      </c>
      <c r="D58" s="17">
        <v>7.7502801185981324E-2</v>
      </c>
      <c r="E58" s="34">
        <v>10.23189962178032</v>
      </c>
      <c r="F58" s="17">
        <v>0.15532071578825821</v>
      </c>
      <c r="G58" s="35">
        <f t="shared" si="3"/>
        <v>6.3508592167969613E-2</v>
      </c>
      <c r="H58" s="35">
        <f t="shared" si="4"/>
        <v>0.11515941698650922</v>
      </c>
      <c r="I58" s="36">
        <f t="shared" si="5"/>
        <v>-5.1650824818539611</v>
      </c>
    </row>
    <row r="59" spans="2:9" ht="13.95" customHeight="1" x14ac:dyDescent="0.3">
      <c r="B59" s="33">
        <v>44255</v>
      </c>
      <c r="C59" s="34">
        <v>22.293540496655051</v>
      </c>
      <c r="D59" s="17">
        <v>7.8082379144316205E-2</v>
      </c>
      <c r="E59" s="34">
        <v>9.3805866453281297</v>
      </c>
      <c r="F59" s="17">
        <v>0.16459221293856391</v>
      </c>
      <c r="G59" s="35">
        <f t="shared" si="3"/>
        <v>6.4855917496197485E-2</v>
      </c>
      <c r="H59" s="35">
        <f t="shared" si="4"/>
        <v>0.12316216479730352</v>
      </c>
      <c r="I59" s="36">
        <f t="shared" si="5"/>
        <v>-5.8306247301106033</v>
      </c>
    </row>
    <row r="60" spans="2:9" ht="13.95" customHeight="1" x14ac:dyDescent="0.3">
      <c r="B60" s="33">
        <v>44286</v>
      </c>
      <c r="C60" s="34">
        <v>21.370739713426769</v>
      </c>
      <c r="D60" s="17">
        <v>8.9556068996938673E-2</v>
      </c>
      <c r="E60" s="34">
        <v>9.5458039106683454</v>
      </c>
      <c r="F60" s="17">
        <v>0.186140964592761</v>
      </c>
      <c r="G60" s="35">
        <f t="shared" si="3"/>
        <v>6.923550141197099E-2</v>
      </c>
      <c r="H60" s="35">
        <f t="shared" si="4"/>
        <v>0.12530699182170973</v>
      </c>
      <c r="I60" s="36">
        <f t="shared" si="5"/>
        <v>-5.6071490409738747</v>
      </c>
    </row>
    <row r="61" spans="2:9" ht="13.95" customHeight="1" x14ac:dyDescent="0.3">
      <c r="B61" s="33">
        <v>44316</v>
      </c>
      <c r="C61" s="34">
        <v>20.57743092479452</v>
      </c>
      <c r="D61" s="17">
        <v>0.10222744362787339</v>
      </c>
      <c r="E61" s="34">
        <v>9.1483540039015043</v>
      </c>
      <c r="F61" s="17">
        <v>0.1956452278354216</v>
      </c>
      <c r="G61" s="35">
        <f t="shared" si="3"/>
        <v>7.3254048782890505E-2</v>
      </c>
      <c r="H61" s="35">
        <f t="shared" si="4"/>
        <v>0.13004983046564611</v>
      </c>
      <c r="I61" s="36">
        <f t="shared" si="5"/>
        <v>-5.6795781682755608</v>
      </c>
    </row>
    <row r="62" spans="2:9" ht="13.95" customHeight="1" x14ac:dyDescent="0.3">
      <c r="B62" s="33">
        <v>44347</v>
      </c>
      <c r="C62" s="34">
        <v>20.845476671773831</v>
      </c>
      <c r="D62" s="17">
        <v>9.3240569012098845E-2</v>
      </c>
      <c r="E62" s="34">
        <v>9.656334070501158</v>
      </c>
      <c r="F62" s="17">
        <v>0.19389834720236371</v>
      </c>
      <c r="G62" s="35">
        <f t="shared" si="3"/>
        <v>7.0790656357553716E-2</v>
      </c>
      <c r="H62" s="35">
        <f t="shared" si="4"/>
        <v>0.12545678724715187</v>
      </c>
      <c r="I62" s="36">
        <f t="shared" si="5"/>
        <v>-5.4666130889598152</v>
      </c>
    </row>
    <row r="63" spans="2:9" ht="13.95" customHeight="1" x14ac:dyDescent="0.3">
      <c r="B63" s="33">
        <v>44377</v>
      </c>
      <c r="C63" s="34">
        <v>21.16270780273695</v>
      </c>
      <c r="D63" s="17">
        <v>8.1783457459809458E-2</v>
      </c>
      <c r="E63" s="34">
        <v>9.321532167484273</v>
      </c>
      <c r="F63" s="17">
        <v>0.19110948249762319</v>
      </c>
      <c r="G63" s="35">
        <f t="shared" si="3"/>
        <v>6.7097222752119212E-2</v>
      </c>
      <c r="H63" s="35">
        <f t="shared" si="4"/>
        <v>0.12789524963315388</v>
      </c>
      <c r="I63" s="36">
        <f t="shared" si="5"/>
        <v>-6.0798026881034666</v>
      </c>
    </row>
    <row r="64" spans="2:9" ht="13.95" customHeight="1" x14ac:dyDescent="0.3">
      <c r="B64" s="33">
        <v>44408</v>
      </c>
      <c r="C64" s="34">
        <v>21.541011700246539</v>
      </c>
      <c r="D64" s="17">
        <v>4.4530222890054073E-2</v>
      </c>
      <c r="E64" s="34">
        <v>8.7384644233739959</v>
      </c>
      <c r="F64" s="17">
        <v>0.17409860515304981</v>
      </c>
      <c r="G64" s="35">
        <f t="shared" si="3"/>
        <v>4.4425239750263586E-2</v>
      </c>
      <c r="H64" s="35">
        <f t="shared" si="4"/>
        <v>0.13054305842972821</v>
      </c>
      <c r="I64" s="36">
        <f t="shared" si="5"/>
        <v>-8.6117818679464637</v>
      </c>
    </row>
    <row r="65" spans="2:9" ht="13.95" customHeight="1" x14ac:dyDescent="0.3">
      <c r="B65" s="33">
        <v>44439</v>
      </c>
      <c r="C65" s="34">
        <v>20.38903189618274</v>
      </c>
      <c r="D65" s="17">
        <v>7.41379547352993E-2</v>
      </c>
      <c r="E65" s="34">
        <v>8.3013004723942458</v>
      </c>
      <c r="F65" s="17">
        <v>0.19534112018519029</v>
      </c>
      <c r="G65" s="35">
        <f t="shared" si="3"/>
        <v>6.4953118919886976E-2</v>
      </c>
      <c r="H65" s="35">
        <f t="shared" si="4"/>
        <v>0.13847907121602476</v>
      </c>
      <c r="I65" s="36">
        <f t="shared" si="5"/>
        <v>-7.3525952296137786</v>
      </c>
    </row>
    <row r="66" spans="2:9" ht="13.95" customHeight="1" x14ac:dyDescent="0.3">
      <c r="B66" s="33">
        <v>44469</v>
      </c>
      <c r="C66" s="34">
        <v>19.95476085946741</v>
      </c>
      <c r="D66" s="17">
        <v>6.6223787814244844E-2</v>
      </c>
      <c r="E66" s="34">
        <v>7.7341355804550869</v>
      </c>
      <c r="F66" s="17">
        <v>0.1892214886390913</v>
      </c>
      <c r="G66" s="35">
        <f t="shared" si="3"/>
        <v>6.1547166820735272E-2</v>
      </c>
      <c r="H66" s="35">
        <f t="shared" si="4"/>
        <v>0.14418136262878711</v>
      </c>
      <c r="I66" s="36">
        <f t="shared" si="5"/>
        <v>-8.2634195808051842</v>
      </c>
    </row>
    <row r="67" spans="2:9" ht="13.95" customHeight="1" x14ac:dyDescent="0.3">
      <c r="B67" s="33">
        <v>44500</v>
      </c>
      <c r="C67" s="34">
        <v>19.00122667686956</v>
      </c>
      <c r="D67" s="17">
        <v>6.4442780086454543E-2</v>
      </c>
      <c r="E67" s="34">
        <v>7.3253403964214954</v>
      </c>
      <c r="F67" s="17">
        <v>0.1883101588372251</v>
      </c>
      <c r="G67" s="35">
        <f t="shared" si="3"/>
        <v>6.1244912917545455E-2</v>
      </c>
      <c r="H67" s="35">
        <f t="shared" si="4"/>
        <v>0.14944053181545108</v>
      </c>
      <c r="I67" s="36">
        <f t="shared" si="5"/>
        <v>-8.8195618897905632</v>
      </c>
    </row>
    <row r="68" spans="2:9" ht="13.95" customHeight="1" x14ac:dyDescent="0.3">
      <c r="B68" s="33">
        <v>44530</v>
      </c>
      <c r="C68" s="34">
        <v>17.85192739919253</v>
      </c>
      <c r="D68" s="17">
        <v>7.1888480241680361E-2</v>
      </c>
      <c r="E68" s="34">
        <v>7.1887963836866078</v>
      </c>
      <c r="F68" s="17">
        <v>0.19344239830767401</v>
      </c>
      <c r="G68" s="35">
        <f t="shared" si="3"/>
        <v>6.6393400384799364E-2</v>
      </c>
      <c r="H68" s="35">
        <f t="shared" si="4"/>
        <v>0.15230742223668631</v>
      </c>
      <c r="I68" s="36">
        <f t="shared" si="5"/>
        <v>-8.591402185188695</v>
      </c>
    </row>
    <row r="69" spans="2:9" ht="13.95" customHeight="1" x14ac:dyDescent="0.3">
      <c r="B69" s="33">
        <v>44561</v>
      </c>
      <c r="C69" s="34">
        <v>17.672527870163631</v>
      </c>
      <c r="D69" s="17">
        <v>4.6822912635817893E-2</v>
      </c>
      <c r="E69" s="34">
        <v>7.5648857564415088</v>
      </c>
      <c r="F69" s="17">
        <v>0.17084127765190049</v>
      </c>
      <c r="G69" s="35">
        <f t="shared" si="3"/>
        <v>4.6785991771057363E-2</v>
      </c>
      <c r="H69" s="35">
        <f t="shared" si="4"/>
        <v>0.14282310501578882</v>
      </c>
      <c r="I69" s="36">
        <f t="shared" si="5"/>
        <v>-9.6037113244731458</v>
      </c>
    </row>
    <row r="70" spans="2:9" ht="13.95" customHeight="1" x14ac:dyDescent="0.3">
      <c r="B70" s="33">
        <v>44592</v>
      </c>
      <c r="C70" s="34">
        <v>17.6224157482843</v>
      </c>
      <c r="D70" s="17">
        <v>2.8209023341843699E-2</v>
      </c>
      <c r="E70" s="34">
        <v>8.0830958519365232</v>
      </c>
      <c r="F70" s="17">
        <v>0.14690976553792279</v>
      </c>
      <c r="G70" s="35">
        <f t="shared" si="3"/>
        <v>9.1996466129507307E-3</v>
      </c>
      <c r="H70" s="35">
        <f t="shared" si="4"/>
        <v>0.13113555140554334</v>
      </c>
      <c r="I70" s="36">
        <f t="shared" si="5"/>
        <v>-12.193590479259262</v>
      </c>
    </row>
    <row r="71" spans="2:9" ht="13.95" customHeight="1" x14ac:dyDescent="0.3">
      <c r="B71" s="33">
        <v>44620</v>
      </c>
      <c r="C71" s="34">
        <v>16.934537797447</v>
      </c>
      <c r="D71" s="17">
        <v>3.0766634573464999E-2</v>
      </c>
      <c r="E71" s="34">
        <v>8.0367153449485293</v>
      </c>
      <c r="F71" s="17">
        <v>0.15341313207269511</v>
      </c>
      <c r="G71" s="35">
        <f t="shared" ref="G71:G102" si="6">gLT+(1-gLT/D71)/C71</f>
        <v>1.584302943013615E-2</v>
      </c>
      <c r="H71" s="35">
        <f t="shared" ref="H71:H102" si="7">gLT+(1-gLT/F71)/E71</f>
        <v>0.1333086062123382</v>
      </c>
      <c r="I71" s="36">
        <f t="shared" ref="I71:I102" si="8">(G71-H71)*100</f>
        <v>-11.746557678220205</v>
      </c>
    </row>
    <row r="72" spans="2:9" ht="13.95" customHeight="1" x14ac:dyDescent="0.3">
      <c r="B72" s="33">
        <v>44651</v>
      </c>
      <c r="C72" s="34">
        <v>18.558376645956539</v>
      </c>
      <c r="D72" s="17">
        <v>3.0833800469170409E-2</v>
      </c>
      <c r="E72" s="34">
        <v>7.9968251703804158</v>
      </c>
      <c r="F72" s="17">
        <v>0.16125315483957001</v>
      </c>
      <c r="G72" s="35">
        <f t="shared" si="6"/>
        <v>1.8748540261512375E-2</v>
      </c>
      <c r="H72" s="35">
        <f t="shared" si="7"/>
        <v>0.13560176622745737</v>
      </c>
      <c r="I72" s="36">
        <f t="shared" si="8"/>
        <v>-11.685322596594499</v>
      </c>
    </row>
    <row r="73" spans="2:9" ht="13.95" customHeight="1" x14ac:dyDescent="0.3">
      <c r="B73" s="33">
        <v>44681</v>
      </c>
      <c r="C73" s="34">
        <v>16.253090136473521</v>
      </c>
      <c r="D73" s="17">
        <v>1.8590006003134339E-2</v>
      </c>
      <c r="E73" s="34">
        <v>6.8797852456755866</v>
      </c>
      <c r="F73" s="17">
        <v>0.1409058698071308</v>
      </c>
      <c r="G73" s="35">
        <f t="shared" si="6"/>
        <v>-4.7027668616911489E-2</v>
      </c>
      <c r="H73" s="35">
        <f t="shared" si="7"/>
        <v>0.1438698824459288</v>
      </c>
      <c r="I73" s="36">
        <f t="shared" si="8"/>
        <v>-19.089755106284027</v>
      </c>
    </row>
    <row r="74" spans="2:9" ht="13.95" customHeight="1" x14ac:dyDescent="0.3">
      <c r="B74" s="33">
        <v>44712</v>
      </c>
      <c r="C74" s="34">
        <v>19.8644020934309</v>
      </c>
      <c r="D74" s="17">
        <v>9.6128322848501452E-2</v>
      </c>
      <c r="E74" s="34">
        <v>7.0321718049792628</v>
      </c>
      <c r="F74" s="17">
        <v>0.2223545203043944</v>
      </c>
      <c r="G74" s="35">
        <f t="shared" si="6"/>
        <v>7.272794363068194E-2</v>
      </c>
      <c r="H74" s="35">
        <f t="shared" si="7"/>
        <v>0.15914541704223972</v>
      </c>
      <c r="I74" s="36">
        <f t="shared" si="8"/>
        <v>-8.6417473411557779</v>
      </c>
    </row>
    <row r="75" spans="2:9" ht="13.95" customHeight="1" x14ac:dyDescent="0.3">
      <c r="B75" s="33">
        <v>44742</v>
      </c>
      <c r="C75" s="34">
        <v>17.051996981857819</v>
      </c>
      <c r="D75" s="17">
        <v>0.101868082359544</v>
      </c>
      <c r="E75" s="34">
        <v>6.089990035775525</v>
      </c>
      <c r="F75" s="17">
        <v>0.2216279060210076</v>
      </c>
      <c r="G75" s="35">
        <f t="shared" si="6"/>
        <v>7.8586856252954695E-2</v>
      </c>
      <c r="H75" s="35">
        <f t="shared" si="7"/>
        <v>0.17638163085791986</v>
      </c>
      <c r="I75" s="36">
        <f t="shared" si="8"/>
        <v>-9.7794774604965156</v>
      </c>
    </row>
    <row r="76" spans="2:9" ht="13.95" customHeight="1" x14ac:dyDescent="0.3">
      <c r="B76" s="33">
        <v>44773</v>
      </c>
      <c r="C76" s="34">
        <v>18.375126999532171</v>
      </c>
      <c r="D76" s="17">
        <v>0.1037930454874146</v>
      </c>
      <c r="E76" s="34">
        <v>6.5306157947866117</v>
      </c>
      <c r="F76" s="17">
        <v>0.2114414763304853</v>
      </c>
      <c r="G76" s="35">
        <f t="shared" si="6"/>
        <v>7.6778070479673416E-2</v>
      </c>
      <c r="H76" s="35">
        <f t="shared" si="7"/>
        <v>0.16608773913610031</v>
      </c>
      <c r="I76" s="36">
        <f t="shared" si="8"/>
        <v>-8.9309668656426897</v>
      </c>
    </row>
    <row r="77" spans="2:9" ht="13.95" customHeight="1" x14ac:dyDescent="0.3">
      <c r="B77" s="33">
        <v>44804</v>
      </c>
      <c r="C77" s="34">
        <v>19.76438280842622</v>
      </c>
      <c r="D77" s="17">
        <v>0.106459521442151</v>
      </c>
      <c r="E77" s="34">
        <v>6.5448638388848934</v>
      </c>
      <c r="F77" s="17">
        <v>0.21916990758729901</v>
      </c>
      <c r="G77" s="35">
        <f t="shared" si="6"/>
        <v>7.5258795260823394E-2</v>
      </c>
      <c r="H77" s="35">
        <f t="shared" si="7"/>
        <v>0.16702610310053631</v>
      </c>
      <c r="I77" s="36">
        <f t="shared" si="8"/>
        <v>-9.1767307839712924</v>
      </c>
    </row>
    <row r="78" spans="2:9" ht="13.95" customHeight="1" x14ac:dyDescent="0.3">
      <c r="B78" s="33">
        <v>44834</v>
      </c>
      <c r="C78" s="34">
        <v>19.82612653586968</v>
      </c>
      <c r="D78" s="17">
        <v>0.10921501922104079</v>
      </c>
      <c r="E78" s="34">
        <v>6.7742885004144391</v>
      </c>
      <c r="F78" s="17">
        <v>0.21401287532119459</v>
      </c>
      <c r="G78" s="35">
        <f t="shared" si="6"/>
        <v>7.573260480132106E-2</v>
      </c>
      <c r="H78" s="35">
        <f t="shared" si="7"/>
        <v>0.16219837762340591</v>
      </c>
      <c r="I78" s="36">
        <f t="shared" si="8"/>
        <v>-8.6465772822084848</v>
      </c>
    </row>
    <row r="79" spans="2:9" ht="13.95" customHeight="1" x14ac:dyDescent="0.3">
      <c r="B79" s="33">
        <v>44865</v>
      </c>
      <c r="C79" s="34">
        <v>21.977748928469389</v>
      </c>
      <c r="D79" s="17">
        <v>0.10646458872181901</v>
      </c>
      <c r="E79" s="34">
        <v>7.20559524447523</v>
      </c>
      <c r="F79" s="17">
        <v>0.20594533985093089</v>
      </c>
      <c r="G79" s="35">
        <f t="shared" si="6"/>
        <v>7.2413824764987977E-2</v>
      </c>
      <c r="H79" s="35">
        <f t="shared" si="7"/>
        <v>0.15410900058667429</v>
      </c>
      <c r="I79" s="36">
        <f t="shared" si="8"/>
        <v>-8.1695175821686306</v>
      </c>
    </row>
    <row r="80" spans="2:9" ht="13.95" customHeight="1" x14ac:dyDescent="0.3">
      <c r="B80" s="33">
        <v>44895</v>
      </c>
      <c r="C80" s="34">
        <v>19.016774199035989</v>
      </c>
      <c r="D80" s="17">
        <v>0.1073074443900931</v>
      </c>
      <c r="E80" s="34">
        <v>7.0473524309422801</v>
      </c>
      <c r="F80" s="17">
        <v>0.2003437707358198</v>
      </c>
      <c r="G80" s="35">
        <f t="shared" si="6"/>
        <v>7.6553180295486967E-2</v>
      </c>
      <c r="H80" s="35">
        <f t="shared" si="7"/>
        <v>0.15560862217528887</v>
      </c>
      <c r="I80" s="36">
        <f t="shared" si="8"/>
        <v>-7.9055441879801904</v>
      </c>
    </row>
    <row r="81" spans="2:9" ht="13.95" customHeight="1" x14ac:dyDescent="0.3">
      <c r="B81" s="33">
        <v>44926</v>
      </c>
      <c r="C81" s="34">
        <v>17.632021233169191</v>
      </c>
      <c r="D81" s="17">
        <v>0.10857531772012891</v>
      </c>
      <c r="E81" s="34">
        <v>6.984625418418557</v>
      </c>
      <c r="F81" s="17">
        <v>0.188821052125098</v>
      </c>
      <c r="G81" s="35">
        <f t="shared" si="6"/>
        <v>7.9164251725379803E-2</v>
      </c>
      <c r="H81" s="35">
        <f t="shared" si="7"/>
        <v>0.15453433893016294</v>
      </c>
      <c r="I81" s="36">
        <f t="shared" si="8"/>
        <v>-7.5370087204783136</v>
      </c>
    </row>
    <row r="82" spans="2:9" ht="13.95" customHeight="1" x14ac:dyDescent="0.3">
      <c r="B82" s="33">
        <v>44957</v>
      </c>
      <c r="C82" s="34">
        <v>18.438244802455621</v>
      </c>
      <c r="D82" s="17">
        <v>8.9088926378432257E-2</v>
      </c>
      <c r="E82" s="34">
        <v>7.2648999831942147</v>
      </c>
      <c r="F82" s="17">
        <v>0.18215396028785591</v>
      </c>
      <c r="G82" s="35">
        <f t="shared" si="6"/>
        <v>7.2622679586803601E-2</v>
      </c>
      <c r="H82" s="35">
        <f t="shared" si="7"/>
        <v>0.14913169000814683</v>
      </c>
      <c r="I82" s="36">
        <f t="shared" si="8"/>
        <v>-7.6509010421343229</v>
      </c>
    </row>
    <row r="83" spans="2:9" ht="13.95" customHeight="1" x14ac:dyDescent="0.3">
      <c r="B83" s="33">
        <v>44985</v>
      </c>
      <c r="C83" s="34">
        <v>17.077234654253719</v>
      </c>
      <c r="D83" s="17">
        <v>6.2715092022190153E-2</v>
      </c>
      <c r="E83" s="34">
        <v>6.7639260491758746</v>
      </c>
      <c r="F83" s="17">
        <v>0.16970981032906859</v>
      </c>
      <c r="G83" s="35">
        <f t="shared" si="6"/>
        <v>6.1673283839221403E-2</v>
      </c>
      <c r="H83" s="35">
        <f t="shared" si="7"/>
        <v>0.15389896145813642</v>
      </c>
      <c r="I83" s="36">
        <f t="shared" si="8"/>
        <v>-9.2225677618915007</v>
      </c>
    </row>
    <row r="84" spans="2:9" ht="13.95" customHeight="1" x14ac:dyDescent="0.3">
      <c r="B84" s="33">
        <v>45016</v>
      </c>
      <c r="C84" s="34">
        <v>16.943640661297181</v>
      </c>
      <c r="D84" s="17">
        <v>0.1005539944086116</v>
      </c>
      <c r="E84" s="34">
        <v>6.5060468132862166</v>
      </c>
      <c r="F84" s="17">
        <v>0.16431482728779701</v>
      </c>
      <c r="G84" s="35">
        <f t="shared" si="6"/>
        <v>7.8432998319439895E-2</v>
      </c>
      <c r="H84" s="35">
        <f t="shared" si="7"/>
        <v>0.15673848672385726</v>
      </c>
      <c r="I84" s="36">
        <f t="shared" si="8"/>
        <v>-7.8305488404417369</v>
      </c>
    </row>
    <row r="85" spans="2:9" ht="13.95" customHeight="1" x14ac:dyDescent="0.3">
      <c r="B85" s="33">
        <v>45046</v>
      </c>
      <c r="C85" s="34">
        <v>17.441847113097658</v>
      </c>
      <c r="D85" s="17">
        <v>7.9211171122482327E-2</v>
      </c>
      <c r="E85" s="34">
        <v>6.7233009806975952</v>
      </c>
      <c r="F85" s="17">
        <v>0.17002079541683821</v>
      </c>
      <c r="G85" s="35">
        <f t="shared" si="6"/>
        <v>7.0314580488933673E-2</v>
      </c>
      <c r="H85" s="35">
        <f t="shared" si="7"/>
        <v>0.15462023435237657</v>
      </c>
      <c r="I85" s="36">
        <f t="shared" si="8"/>
        <v>-8.4305653863442895</v>
      </c>
    </row>
    <row r="86" spans="2:9" ht="13.95" customHeight="1" x14ac:dyDescent="0.3">
      <c r="B86" s="33">
        <v>45077</v>
      </c>
      <c r="C86" s="34">
        <v>8.721048247178576</v>
      </c>
      <c r="D86" s="17">
        <v>3.8818583057392388E-3</v>
      </c>
      <c r="E86" s="34">
        <v>6.6080642351833028</v>
      </c>
      <c r="F86" s="17">
        <v>3.115081232481566E-2</v>
      </c>
      <c r="G86" s="35">
        <f t="shared" si="6"/>
        <v>-1.2266545967540172</v>
      </c>
      <c r="H86" s="35">
        <f t="shared" si="7"/>
        <v>-2.9995151126387273E-2</v>
      </c>
      <c r="I86" s="36">
        <f t="shared" si="8"/>
        <v>-119.665944562763</v>
      </c>
    </row>
    <row r="87" spans="2:9" ht="13.95" customHeight="1" x14ac:dyDescent="0.3">
      <c r="B87" s="33">
        <v>45107</v>
      </c>
      <c r="C87" s="34">
        <v>18.42377320279105</v>
      </c>
      <c r="D87" s="17">
        <v>0.1047560395960003</v>
      </c>
      <c r="E87" s="34">
        <v>7.6156909574841576</v>
      </c>
      <c r="F87" s="17">
        <v>0.1724231924331579</v>
      </c>
      <c r="G87" s="35">
        <f t="shared" si="6"/>
        <v>7.6925385624286122E-2</v>
      </c>
      <c r="H87" s="35">
        <f t="shared" si="7"/>
        <v>0.1425152807989459</v>
      </c>
      <c r="I87" s="36">
        <f t="shared" si="8"/>
        <v>-6.558989517465978</v>
      </c>
    </row>
    <row r="88" spans="2:9" ht="13.95" customHeight="1" x14ac:dyDescent="0.3">
      <c r="B88" s="33">
        <v>45138</v>
      </c>
      <c r="C88" s="34">
        <v>18.189297395914579</v>
      </c>
      <c r="D88" s="17">
        <v>6.2150375608602752E-2</v>
      </c>
      <c r="E88" s="34">
        <v>8.0029347197573895</v>
      </c>
      <c r="F88" s="17">
        <v>0.151967330377135</v>
      </c>
      <c r="G88" s="35">
        <f t="shared" si="6"/>
        <v>6.0401818086039845E-2</v>
      </c>
      <c r="H88" s="35">
        <f t="shared" si="7"/>
        <v>0.13330871354461532</v>
      </c>
      <c r="I88" s="36">
        <f t="shared" si="8"/>
        <v>-7.290689545857548</v>
      </c>
    </row>
    <row r="89" spans="2:9" ht="13.95" customHeight="1" x14ac:dyDescent="0.3">
      <c r="B89" s="33">
        <v>45169</v>
      </c>
      <c r="C89" s="34">
        <v>16.38633874644685</v>
      </c>
      <c r="D89" s="17">
        <v>0.10481002927475019</v>
      </c>
      <c r="E89" s="34">
        <v>7.5716480535685102</v>
      </c>
      <c r="F89" s="17">
        <v>0.16334545025435479</v>
      </c>
      <c r="G89" s="35">
        <f t="shared" si="6"/>
        <v>8.0660333800818995E-2</v>
      </c>
      <c r="H89" s="35">
        <f t="shared" si="7"/>
        <v>0.14107017316640966</v>
      </c>
      <c r="I89" s="36">
        <f t="shared" si="8"/>
        <v>-6.0409839365590665</v>
      </c>
    </row>
    <row r="90" spans="2:9" ht="13.95" customHeight="1" x14ac:dyDescent="0.3">
      <c r="B90" s="33">
        <v>45199</v>
      </c>
      <c r="C90" s="34">
        <v>15.778429270422251</v>
      </c>
      <c r="D90" s="17">
        <v>0.10393868358621509</v>
      </c>
      <c r="E90" s="34">
        <v>7.5104672597863207</v>
      </c>
      <c r="F90" s="17">
        <v>0.16630601186734309</v>
      </c>
      <c r="G90" s="35">
        <f t="shared" si="6"/>
        <v>8.1718938830300542E-2</v>
      </c>
      <c r="H90" s="35">
        <f t="shared" si="7"/>
        <v>0.14251848425826746</v>
      </c>
      <c r="I90" s="36">
        <f t="shared" si="8"/>
        <v>-6.0799545427966919</v>
      </c>
    </row>
    <row r="91" spans="2:9" ht="13.95" customHeight="1" x14ac:dyDescent="0.3">
      <c r="B91" s="33">
        <v>45230</v>
      </c>
      <c r="C91" s="34">
        <v>14.385187624336581</v>
      </c>
      <c r="D91" s="17">
        <v>0.1062826009922903</v>
      </c>
      <c r="E91" s="34">
        <v>6.9610120159891267</v>
      </c>
      <c r="F91" s="17">
        <v>0.17330925389534579</v>
      </c>
      <c r="G91" s="35">
        <f t="shared" si="6"/>
        <v>8.5774798089431809E-2</v>
      </c>
      <c r="H91" s="35">
        <f t="shared" si="7"/>
        <v>0.15169863840071257</v>
      </c>
      <c r="I91" s="36">
        <f t="shared" si="8"/>
        <v>-6.5923840311280761</v>
      </c>
    </row>
    <row r="92" spans="2:9" ht="13.95" customHeight="1" x14ac:dyDescent="0.3">
      <c r="B92" s="33">
        <v>45260</v>
      </c>
      <c r="C92" s="34">
        <v>15.75183318407889</v>
      </c>
      <c r="D92" s="17">
        <v>0.11020493918526909</v>
      </c>
      <c r="E92" s="34">
        <v>7.7934526863811842</v>
      </c>
      <c r="F92" s="17">
        <v>0.17345637739635891</v>
      </c>
      <c r="G92" s="35">
        <f t="shared" si="6"/>
        <v>8.340984706061419E-2</v>
      </c>
      <c r="H92" s="35">
        <f t="shared" si="7"/>
        <v>0.14054499610286833</v>
      </c>
      <c r="I92" s="36">
        <f t="shared" si="8"/>
        <v>-5.7135149042254145</v>
      </c>
    </row>
    <row r="93" spans="2:9" ht="13.95" customHeight="1" x14ac:dyDescent="0.3">
      <c r="B93" s="33">
        <v>45291</v>
      </c>
      <c r="C93" s="34">
        <v>16.409167338432759</v>
      </c>
      <c r="D93" s="17">
        <v>0.1112325380180354</v>
      </c>
      <c r="E93" s="34">
        <v>8.1167574051296008</v>
      </c>
      <c r="F93" s="17">
        <v>0.17314022450928671</v>
      </c>
      <c r="G93" s="35">
        <f t="shared" si="6"/>
        <v>8.2191411951967858E-2</v>
      </c>
      <c r="H93" s="35">
        <f t="shared" si="7"/>
        <v>0.13675797734672104</v>
      </c>
      <c r="I93" s="36">
        <f t="shared" si="8"/>
        <v>-5.4566565394753184</v>
      </c>
    </row>
    <row r="94" spans="2:9" ht="13.95" customHeight="1" x14ac:dyDescent="0.3">
      <c r="B94" s="33">
        <v>45322</v>
      </c>
      <c r="C94" s="34">
        <v>14.594400572828279</v>
      </c>
      <c r="D94" s="17">
        <v>0.1109204729345724</v>
      </c>
      <c r="E94" s="34">
        <v>7.7670957651106587</v>
      </c>
      <c r="F94" s="17">
        <v>0.17431790249334339</v>
      </c>
      <c r="G94" s="35">
        <f t="shared" si="6"/>
        <v>8.6485896678579366E-2</v>
      </c>
      <c r="H94" s="35">
        <f t="shared" si="7"/>
        <v>0.14103484732630969</v>
      </c>
      <c r="I94" s="36">
        <f t="shared" si="8"/>
        <v>-5.4548950647730328</v>
      </c>
    </row>
    <row r="95" spans="2:9" ht="13.95" customHeight="1" x14ac:dyDescent="0.3">
      <c r="B95" s="33">
        <v>45351</v>
      </c>
      <c r="C95" s="34">
        <v>15.037176151650121</v>
      </c>
      <c r="D95" s="17">
        <v>0.1105608766304679</v>
      </c>
      <c r="E95" s="34">
        <v>7.7106863309572207</v>
      </c>
      <c r="F95" s="17">
        <v>0.1724101651409046</v>
      </c>
      <c r="G95" s="35">
        <f t="shared" si="6"/>
        <v>8.5231568647710962E-2</v>
      </c>
      <c r="H95" s="35">
        <f t="shared" si="7"/>
        <v>0.14133586487105598</v>
      </c>
      <c r="I95" s="36">
        <f t="shared" si="8"/>
        <v>-5.610429622334502</v>
      </c>
    </row>
    <row r="96" spans="2:9" ht="13.95" customHeight="1" x14ac:dyDescent="0.3">
      <c r="B96" s="33">
        <v>45382</v>
      </c>
      <c r="C96" s="34">
        <v>15.471586680652351</v>
      </c>
      <c r="D96" s="17">
        <v>0.1113364523263269</v>
      </c>
      <c r="E96" s="34">
        <v>7.4445692604569436</v>
      </c>
      <c r="F96" s="17">
        <v>0.17165873520432059</v>
      </c>
      <c r="G96" s="35">
        <f t="shared" si="6"/>
        <v>8.434950717245876E-2</v>
      </c>
      <c r="H96" s="35">
        <f t="shared" si="7"/>
        <v>0.14454774474816806</v>
      </c>
      <c r="I96" s="36">
        <f t="shared" si="8"/>
        <v>-6.0198237575709301</v>
      </c>
    </row>
    <row r="97" spans="2:9" ht="13.95" customHeight="1" x14ac:dyDescent="0.3">
      <c r="B97" s="33">
        <v>45412</v>
      </c>
      <c r="C97" s="34">
        <v>14.814283001120121</v>
      </c>
      <c r="D97" s="17">
        <v>0.1107342135328101</v>
      </c>
      <c r="E97" s="34">
        <v>7.3089262276725497</v>
      </c>
      <c r="F97" s="17">
        <v>0.16950838201551541</v>
      </c>
      <c r="G97" s="35">
        <f t="shared" si="6"/>
        <v>8.5851712714665351E-2</v>
      </c>
      <c r="H97" s="35">
        <f t="shared" si="7"/>
        <v>0.14588286641685622</v>
      </c>
      <c r="I97" s="36">
        <f t="shared" si="8"/>
        <v>-6.0031153702190867</v>
      </c>
    </row>
    <row r="98" spans="2:9" ht="13.95" customHeight="1" x14ac:dyDescent="0.3">
      <c r="B98" s="33">
        <v>45443</v>
      </c>
      <c r="C98" s="34">
        <v>13.224309581015749</v>
      </c>
      <c r="D98" s="17">
        <v>0.1112537210210171</v>
      </c>
      <c r="E98" s="34">
        <v>6.9869862164672352</v>
      </c>
      <c r="F98" s="17">
        <v>0.16987274018610801</v>
      </c>
      <c r="G98" s="35">
        <f t="shared" si="6"/>
        <v>9.0672769187331109E-2</v>
      </c>
      <c r="H98" s="35">
        <f t="shared" si="7"/>
        <v>0.15052421945351141</v>
      </c>
      <c r="I98" s="36">
        <f t="shared" si="8"/>
        <v>-5.9851450266180297</v>
      </c>
    </row>
    <row r="99" spans="2:9" ht="13.95" customHeight="1" x14ac:dyDescent="0.3">
      <c r="B99" s="33">
        <v>45473</v>
      </c>
      <c r="C99" s="34">
        <v>13.367163208504319</v>
      </c>
      <c r="D99" s="17">
        <v>0.1131700803207948</v>
      </c>
      <c r="E99" s="34">
        <v>6.8352212161899102</v>
      </c>
      <c r="F99" s="17">
        <v>0.17384924089442699</v>
      </c>
      <c r="G99" s="35">
        <f t="shared" si="6"/>
        <v>9.0741209435404979E-2</v>
      </c>
      <c r="H99" s="35">
        <f t="shared" si="7"/>
        <v>0.1537486764960706</v>
      </c>
      <c r="I99" s="36">
        <f t="shared" si="8"/>
        <v>-6.3007467060665618</v>
      </c>
    </row>
    <row r="100" spans="2:9" ht="13.95" customHeight="1" x14ac:dyDescent="0.3">
      <c r="B100" s="33">
        <v>45504</v>
      </c>
      <c r="C100" s="34">
        <v>14.4401623240114</v>
      </c>
      <c r="D100" s="17">
        <v>0.11455231943876849</v>
      </c>
      <c r="E100" s="34">
        <v>6.716774359382554</v>
      </c>
      <c r="F100" s="17">
        <v>0.17731468863303951</v>
      </c>
      <c r="G100" s="35">
        <f t="shared" si="6"/>
        <v>8.7837984778992573E-2</v>
      </c>
      <c r="H100" s="35">
        <f t="shared" si="7"/>
        <v>0.15641777971066662</v>
      </c>
      <c r="I100" s="36">
        <f t="shared" si="8"/>
        <v>-6.8579794931674041</v>
      </c>
    </row>
    <row r="101" spans="2:9" ht="13.95" customHeight="1" x14ac:dyDescent="0.3">
      <c r="B101" s="33">
        <v>45535</v>
      </c>
      <c r="C101" s="34">
        <v>15.94034957491152</v>
      </c>
      <c r="D101" s="17">
        <v>0.1168286290478914</v>
      </c>
      <c r="E101" s="34">
        <v>7.4013942109084683</v>
      </c>
      <c r="F101" s="17">
        <v>0.17410190869304809</v>
      </c>
      <c r="G101" s="35">
        <f t="shared" si="6"/>
        <v>8.449612547882096E-2</v>
      </c>
      <c r="H101" s="35">
        <f t="shared" si="7"/>
        <v>0.14563589825987033</v>
      </c>
      <c r="I101" s="36">
        <f t="shared" si="8"/>
        <v>-6.1139772781049375</v>
      </c>
    </row>
    <row r="102" spans="2:9" ht="13.95" customHeight="1" x14ac:dyDescent="0.3">
      <c r="B102" s="33">
        <v>45565</v>
      </c>
      <c r="C102" s="34">
        <v>15.25296737952335</v>
      </c>
      <c r="D102" s="17">
        <v>0.1219869425278416</v>
      </c>
      <c r="E102" s="34">
        <v>7.2526438621749341</v>
      </c>
      <c r="F102" s="17">
        <v>0.1748131567636334</v>
      </c>
      <c r="G102" s="35">
        <f t="shared" si="6"/>
        <v>8.7301198211221176E-2</v>
      </c>
      <c r="H102" s="35">
        <f t="shared" si="7"/>
        <v>0.14781034332743487</v>
      </c>
      <c r="I102" s="36">
        <f t="shared" si="8"/>
        <v>-6.050914511621369</v>
      </c>
    </row>
    <row r="103" spans="2:9" ht="13.95" customHeight="1" x14ac:dyDescent="0.3">
      <c r="B103" s="33">
        <v>45596</v>
      </c>
      <c r="C103" s="34">
        <v>14.524682493408241</v>
      </c>
      <c r="D103" s="17">
        <v>0.1235711224367204</v>
      </c>
      <c r="E103" s="34">
        <v>7.2961594487789956</v>
      </c>
      <c r="F103" s="17">
        <v>0.17030987738355219</v>
      </c>
      <c r="G103" s="35">
        <f t="shared" ref="G103:G126" si="9">gLT+(1-gLT/D103)/C103</f>
        <v>8.9662015999451783E-2</v>
      </c>
      <c r="H103" s="35">
        <f t="shared" ref="H103:H126" si="10">gLT+(1-gLT/F103)/E103</f>
        <v>0.14623473475983884</v>
      </c>
      <c r="I103" s="36">
        <f t="shared" ref="I103:I134" si="11">(G103-H103)*100</f>
        <v>-5.6572718760387053</v>
      </c>
    </row>
    <row r="104" spans="2:9" ht="13.95" customHeight="1" x14ac:dyDescent="0.3">
      <c r="B104" s="33">
        <v>45626</v>
      </c>
      <c r="C104" s="34">
        <v>13.767226334151029</v>
      </c>
      <c r="D104" s="17">
        <v>0.1238669981120584</v>
      </c>
      <c r="E104" s="34">
        <v>6.8152023209923156</v>
      </c>
      <c r="F104" s="17">
        <v>0.16988855673221159</v>
      </c>
      <c r="G104" s="35">
        <f t="shared" si="9"/>
        <v>9.2075220084886722E-2</v>
      </c>
      <c r="H104" s="35">
        <f t="shared" si="10"/>
        <v>0.15313742907244959</v>
      </c>
      <c r="I104" s="36">
        <f t="shared" si="11"/>
        <v>-6.1062208987562876</v>
      </c>
    </row>
    <row r="105" spans="2:9" ht="13.95" customHeight="1" x14ac:dyDescent="0.3">
      <c r="B105" s="33">
        <v>45657</v>
      </c>
      <c r="C105" s="34">
        <v>12.24174295712834</v>
      </c>
      <c r="D105" s="17">
        <v>0.1243156783280165</v>
      </c>
      <c r="E105" s="34">
        <v>6.4400143972062738</v>
      </c>
      <c r="F105" s="17">
        <v>0.16633383399838031</v>
      </c>
      <c r="G105" s="35">
        <f t="shared" si="9"/>
        <v>9.7804058823743864E-2</v>
      </c>
      <c r="H105" s="35">
        <f t="shared" si="10"/>
        <v>0.15840281310117893</v>
      </c>
      <c r="I105" s="36">
        <f t="shared" si="11"/>
        <v>-6.0598754277435063</v>
      </c>
    </row>
    <row r="106" spans="2:9" ht="13.95" customHeight="1" x14ac:dyDescent="0.3">
      <c r="B106" s="33">
        <v>45688</v>
      </c>
      <c r="C106" s="34">
        <v>13.410205925671431</v>
      </c>
      <c r="D106" s="17">
        <v>0.12681193506929961</v>
      </c>
      <c r="E106" s="34">
        <v>6.8665476483077814</v>
      </c>
      <c r="F106" s="17">
        <v>0.16564914363148731</v>
      </c>
      <c r="G106" s="35">
        <f t="shared" si="9"/>
        <v>9.3932346027907176E-2</v>
      </c>
      <c r="H106" s="35">
        <f t="shared" si="10"/>
        <v>0.15131264912744702</v>
      </c>
      <c r="I106" s="36">
        <f t="shared" si="11"/>
        <v>-5.7380303099539844</v>
      </c>
    </row>
    <row r="107" spans="2:9" ht="13.95" customHeight="1" x14ac:dyDescent="0.3">
      <c r="B107" s="33">
        <v>45716</v>
      </c>
      <c r="C107" s="34">
        <v>12.51570878790222</v>
      </c>
      <c r="D107" s="17">
        <v>0.12729777822109881</v>
      </c>
      <c r="E107" s="34">
        <v>6.6723473844057883</v>
      </c>
      <c r="F107" s="17">
        <v>0.16535595555249499</v>
      </c>
      <c r="G107" s="35">
        <f t="shared" si="9"/>
        <v>9.7399619245988528E-2</v>
      </c>
      <c r="H107" s="35">
        <f t="shared" si="10"/>
        <v>0.15427329626975067</v>
      </c>
      <c r="I107" s="36">
        <f t="shared" si="11"/>
        <v>-5.6873677023762141</v>
      </c>
    </row>
    <row r="108" spans="2:9" ht="13.95" customHeight="1" x14ac:dyDescent="0.3">
      <c r="B108" s="33">
        <v>45747</v>
      </c>
      <c r="C108" s="34">
        <v>12.45629514839721</v>
      </c>
      <c r="D108" s="17">
        <v>0.12641433621372211</v>
      </c>
      <c r="E108" s="34">
        <v>6.9454335893600021</v>
      </c>
      <c r="F108" s="17">
        <v>0.17178504698744709</v>
      </c>
      <c r="G108" s="35">
        <f t="shared" si="9"/>
        <v>9.7432870934145072E-2</v>
      </c>
      <c r="H108" s="35">
        <f t="shared" si="10"/>
        <v>0.1515870289122114</v>
      </c>
      <c r="I108" s="36">
        <f t="shared" si="11"/>
        <v>-5.4154157978066326</v>
      </c>
    </row>
    <row r="109" spans="2:9" ht="13.95" customHeight="1" x14ac:dyDescent="0.3">
      <c r="B109" s="33">
        <v>45777</v>
      </c>
      <c r="C109" s="34">
        <v>13.71645182643682</v>
      </c>
      <c r="D109" s="17">
        <v>0.13059706814129959</v>
      </c>
      <c r="E109" s="34">
        <v>7.5974405108501228</v>
      </c>
      <c r="F109" s="17">
        <v>0.16482999422978609</v>
      </c>
      <c r="G109" s="35">
        <f t="shared" si="9"/>
        <v>9.3667639741016329E-2</v>
      </c>
      <c r="H109" s="35">
        <f t="shared" si="10"/>
        <v>0.14109191440275715</v>
      </c>
      <c r="I109" s="36">
        <f t="shared" si="11"/>
        <v>-4.7424274661740817</v>
      </c>
    </row>
    <row r="110" spans="2:9" ht="13.95" customHeight="1" x14ac:dyDescent="0.3">
      <c r="B110" s="33">
        <v>45808</v>
      </c>
      <c r="C110" s="34">
        <v>13.83701656305043</v>
      </c>
      <c r="D110" s="17">
        <v>0.13526618909665469</v>
      </c>
      <c r="E110" s="34">
        <v>7.8008724896206108</v>
      </c>
      <c r="F110" s="17">
        <v>0.16286950601592051</v>
      </c>
      <c r="G110" s="35">
        <f t="shared" si="9"/>
        <v>9.4158790801164238E-2</v>
      </c>
      <c r="H110" s="35">
        <f t="shared" si="10"/>
        <v>0.13819818540911194</v>
      </c>
      <c r="I110" s="36">
        <f t="shared" si="11"/>
        <v>-4.4039394607947706</v>
      </c>
    </row>
    <row r="111" spans="2:9" ht="13.95" customHeight="1" x14ac:dyDescent="0.3">
      <c r="B111" s="33">
        <v>45838</v>
      </c>
      <c r="C111" s="34">
        <v>14.014279541662489</v>
      </c>
      <c r="D111" s="17">
        <v>0.13691668017107009</v>
      </c>
      <c r="E111" s="34">
        <v>7.8415467229801168</v>
      </c>
      <c r="F111" s="17">
        <v>0.16120895092901191</v>
      </c>
      <c r="G111" s="35">
        <f t="shared" si="9"/>
        <v>9.3861169997061969E-2</v>
      </c>
      <c r="H111" s="35">
        <f t="shared" si="10"/>
        <v>0.13734606797436777</v>
      </c>
      <c r="I111" s="36">
        <f t="shared" si="11"/>
        <v>-4.3484897977305801</v>
      </c>
    </row>
    <row r="112" spans="2:9" ht="13.95" customHeight="1" x14ac:dyDescent="0.3">
      <c r="B112" s="33">
        <v>45869</v>
      </c>
      <c r="C112" s="34">
        <v>12.86012356200281</v>
      </c>
      <c r="D112" s="17">
        <v>0.13711359006922291</v>
      </c>
      <c r="E112" s="34">
        <v>7.6335275437216223</v>
      </c>
      <c r="F112" s="17">
        <v>0.1587863429548062</v>
      </c>
      <c r="G112" s="35">
        <f t="shared" si="9"/>
        <v>9.8105147781805291E-2</v>
      </c>
      <c r="H112" s="35">
        <f t="shared" si="10"/>
        <v>0.13922535277710824</v>
      </c>
      <c r="I112" s="36">
        <f t="shared" si="11"/>
        <v>-4.1120204995302947</v>
      </c>
    </row>
    <row r="113" spans="2:9" ht="13.95" customHeight="1" x14ac:dyDescent="0.3">
      <c r="B113" s="33">
        <v>45900</v>
      </c>
      <c r="C113" s="34">
        <v>12.777482106987939</v>
      </c>
      <c r="D113" s="17">
        <v>0.143530652212848</v>
      </c>
      <c r="E113" s="34">
        <v>7.7767549229938178</v>
      </c>
      <c r="F113" s="17">
        <v>0.16068410519558571</v>
      </c>
      <c r="G113" s="35">
        <f t="shared" si="9"/>
        <v>9.963508162284089E-2</v>
      </c>
      <c r="H113" s="35">
        <f t="shared" si="10"/>
        <v>0.13797633063341072</v>
      </c>
      <c r="I113" s="36">
        <f t="shared" si="11"/>
        <v>-3.8341249010569829</v>
      </c>
    </row>
    <row r="114" spans="2:9" ht="13.95" customHeight="1" x14ac:dyDescent="0.3">
      <c r="B114" s="33">
        <v>45930</v>
      </c>
      <c r="C114" s="34">
        <v>12.92518080055453</v>
      </c>
      <c r="D114" s="17">
        <v>0.14286352490355159</v>
      </c>
      <c r="E114" s="34">
        <v>8.2269066345076105</v>
      </c>
      <c r="F114" s="17">
        <v>0.15756409967966981</v>
      </c>
      <c r="G114" s="35">
        <f t="shared" si="9"/>
        <v>9.8915304516862423E-2</v>
      </c>
      <c r="H114" s="35">
        <f t="shared" si="10"/>
        <v>0.13229435570124373</v>
      </c>
      <c r="I114" s="36">
        <f t="shared" si="11"/>
        <v>-3.337905118438131</v>
      </c>
    </row>
    <row r="115" spans="2:9" ht="13.95" customHeight="1" x14ac:dyDescent="0.3">
      <c r="B115" s="33">
        <v>45961</v>
      </c>
      <c r="C115" s="34">
        <v>13.04225150563305</v>
      </c>
      <c r="D115" s="17">
        <v>0.14262775601562641</v>
      </c>
      <c r="E115" s="34">
        <v>8.4980313715166744</v>
      </c>
      <c r="F115" s="17">
        <v>0.158380405359861</v>
      </c>
      <c r="G115" s="35">
        <f t="shared" si="9"/>
        <v>9.8407601838545411E-2</v>
      </c>
      <c r="H115" s="35">
        <f t="shared" si="10"/>
        <v>0.12975400360787559</v>
      </c>
      <c r="I115" s="36">
        <f t="shared" si="11"/>
        <v>-3.1346401769330177</v>
      </c>
    </row>
    <row r="116" spans="2:9" ht="13.95" customHeight="1" x14ac:dyDescent="0.3">
      <c r="B116" s="33">
        <v>45991</v>
      </c>
      <c r="C116" s="34">
        <v>13.13170019685014</v>
      </c>
      <c r="D116" s="17">
        <v>0.14388015677179669</v>
      </c>
      <c r="E116" s="34">
        <v>9.0042872288142028</v>
      </c>
      <c r="F116" s="17">
        <v>0.15534628304803</v>
      </c>
      <c r="G116" s="35">
        <f t="shared" si="9"/>
        <v>9.8275862177677725E-2</v>
      </c>
      <c r="H116" s="35">
        <f t="shared" si="10"/>
        <v>0.12445755968639874</v>
      </c>
      <c r="I116" s="36">
        <f t="shared" si="11"/>
        <v>-2.6181697508721014</v>
      </c>
    </row>
    <row r="117" spans="2:9" ht="13.95" customHeight="1" x14ac:dyDescent="0.3">
      <c r="B117" s="33">
        <v>46022</v>
      </c>
      <c r="C117" s="34">
        <v>12.303313026010519</v>
      </c>
      <c r="D117" s="17">
        <v>0.1459988418807377</v>
      </c>
      <c r="E117" s="34">
        <v>8.7969761318129045</v>
      </c>
      <c r="F117" s="17">
        <v>0.15259763335139129</v>
      </c>
      <c r="G117" s="35">
        <f t="shared" si="9"/>
        <v>0.10211358093310063</v>
      </c>
      <c r="H117" s="35">
        <f t="shared" si="10"/>
        <v>0.12566344700501186</v>
      </c>
      <c r="I117" s="36">
        <f t="shared" si="11"/>
        <v>-2.354986607191123</v>
      </c>
    </row>
    <row r="118" spans="2:9" ht="13.95" customHeight="1" x14ac:dyDescent="0.3">
      <c r="B118" s="33">
        <v>46053</v>
      </c>
      <c r="C118" s="34">
        <v>13.98628725031163</v>
      </c>
      <c r="D118" s="17">
        <v>0.14590028831282759</v>
      </c>
      <c r="E118" s="34">
        <v>9.8308103508166962</v>
      </c>
      <c r="F118" s="17">
        <v>0.16024478362841549</v>
      </c>
      <c r="G118" s="35">
        <f t="shared" si="9"/>
        <v>9.5466199317280676E-2</v>
      </c>
      <c r="H118" s="35">
        <f t="shared" si="10"/>
        <v>0.11888611067926383</v>
      </c>
      <c r="I118" s="36">
        <f t="shared" si="11"/>
        <v>-2.3419911361983154</v>
      </c>
    </row>
    <row r="119" spans="2:9" ht="13.95" customHeight="1" x14ac:dyDescent="0.3">
      <c r="B119" s="33">
        <v>46081</v>
      </c>
      <c r="C119" s="34">
        <v>13.69000005946604</v>
      </c>
      <c r="D119" s="17">
        <v>0.14771154403826711</v>
      </c>
      <c r="E119" s="34">
        <v>10.139962610783121</v>
      </c>
      <c r="F119" s="17">
        <v>0.16351819678903681</v>
      </c>
      <c r="G119" s="35">
        <f t="shared" si="9"/>
        <v>9.6803672248313516E-2</v>
      </c>
      <c r="H119" s="35">
        <f t="shared" si="10"/>
        <v>0.1172734559532931</v>
      </c>
      <c r="I119" s="36">
        <f t="shared" si="11"/>
        <v>-2.0469783704979578</v>
      </c>
    </row>
    <row r="120" spans="2:9" ht="13.95" customHeight="1" x14ac:dyDescent="0.3">
      <c r="B120" s="33">
        <v>46112</v>
      </c>
      <c r="C120" s="34">
        <v>11.752052006035139</v>
      </c>
      <c r="D120" s="17">
        <v>0.15185571897153621</v>
      </c>
      <c r="E120" s="34">
        <v>9.05318428495797</v>
      </c>
      <c r="F120" s="17">
        <v>0.17560837505729379</v>
      </c>
      <c r="G120" s="35">
        <f t="shared" si="9"/>
        <v>0.10575532940829818</v>
      </c>
      <c r="H120" s="35">
        <f t="shared" si="10"/>
        <v>0.1278951837565441</v>
      </c>
      <c r="I120" s="36">
        <f t="shared" si="11"/>
        <v>-2.213985434824592</v>
      </c>
    </row>
    <row r="121" spans="2:9" ht="13.95" customHeight="1" x14ac:dyDescent="0.3">
      <c r="B121" s="33">
        <v>46142</v>
      </c>
      <c r="C121" s="34">
        <v>11.877539694594169</v>
      </c>
      <c r="D121" s="17">
        <v>0.15256870468482581</v>
      </c>
      <c r="E121" s="34">
        <v>8.612795495256643</v>
      </c>
      <c r="F121" s="17">
        <v>0.17925459654950121</v>
      </c>
      <c r="G121" s="35">
        <f t="shared" si="9"/>
        <v>0.10525634630725467</v>
      </c>
      <c r="H121" s="35">
        <f t="shared" si="10"/>
        <v>0.13266360338663752</v>
      </c>
      <c r="I121" s="36">
        <f t="shared" si="11"/>
        <v>-2.7407257079382852</v>
      </c>
    </row>
    <row r="122" spans="2:9" ht="13.95" customHeight="1" x14ac:dyDescent="0.3">
      <c r="B122" s="33">
        <v>46173</v>
      </c>
      <c r="C122" s="34">
        <v>10.9848928045903</v>
      </c>
      <c r="D122" s="17">
        <v>0.15173283502327131</v>
      </c>
      <c r="E122" s="34">
        <v>8.2761781228488562</v>
      </c>
      <c r="F122" s="17">
        <v>0.1743214018342385</v>
      </c>
      <c r="G122" s="35">
        <f t="shared" si="9"/>
        <v>0.10983584562009654</v>
      </c>
      <c r="H122" s="35">
        <f t="shared" si="10"/>
        <v>0.13525125148570133</v>
      </c>
      <c r="I122" s="36">
        <f t="shared" si="11"/>
        <v>-2.5415405865604783</v>
      </c>
    </row>
    <row r="123" spans="2:9" ht="13.95" customHeight="1" x14ac:dyDescent="0.3">
      <c r="B123" s="33">
        <v>46203</v>
      </c>
      <c r="C123" s="34">
        <v>11.02617244738798</v>
      </c>
      <c r="D123" s="17">
        <v>0.15076866645171261</v>
      </c>
      <c r="E123" s="34">
        <v>8.1906343188388462</v>
      </c>
      <c r="F123" s="17">
        <v>0.1771516531708931</v>
      </c>
      <c r="G123" s="35">
        <f t="shared" si="9"/>
        <v>0.10942094821239483</v>
      </c>
      <c r="H123" s="35">
        <f t="shared" si="10"/>
        <v>0.13669886393326139</v>
      </c>
      <c r="I123" s="36">
        <f t="shared" si="11"/>
        <v>-2.7277915720866561</v>
      </c>
    </row>
    <row r="124" spans="2:9" ht="13.95" customHeight="1" x14ac:dyDescent="0.3">
      <c r="B124" s="33">
        <v>46234</v>
      </c>
      <c r="C124" s="34">
        <v>11.080326669436801</v>
      </c>
      <c r="D124" s="17">
        <v>0.15209518127652721</v>
      </c>
      <c r="E124" s="34">
        <v>8.4563705977410049</v>
      </c>
      <c r="F124" s="17">
        <v>0.10322700198083</v>
      </c>
      <c r="G124" s="35">
        <f t="shared" si="9"/>
        <v>0.10936124606013706</v>
      </c>
      <c r="H124" s="35">
        <f t="shared" si="10"/>
        <v>0.1114121218353816</v>
      </c>
      <c r="I124" s="36">
        <f t="shared" si="11"/>
        <v>-0.20508757752445428</v>
      </c>
    </row>
    <row r="125" spans="2:9" ht="13.95" customHeight="1" x14ac:dyDescent="0.3">
      <c r="B125" s="33">
        <v>46265</v>
      </c>
      <c r="C125" s="34">
        <v>11.504183710985179</v>
      </c>
      <c r="D125" s="17">
        <v>0.15359331999636219</v>
      </c>
      <c r="E125" s="34">
        <v>8.3574775538430206</v>
      </c>
      <c r="F125" s="17">
        <v>0.1728742984153438</v>
      </c>
      <c r="G125" s="35">
        <f t="shared" si="9"/>
        <v>0.10732562815026077</v>
      </c>
      <c r="H125" s="35">
        <f t="shared" si="10"/>
        <v>0.13412271753463251</v>
      </c>
      <c r="I125" s="36">
        <f t="shared" si="11"/>
        <v>-2.6797089384371739</v>
      </c>
    </row>
    <row r="126" spans="2:9" ht="13.95" customHeight="1" x14ac:dyDescent="0.3">
      <c r="B126" s="33">
        <v>46295</v>
      </c>
      <c r="C126" s="34">
        <v>11.44981242526598</v>
      </c>
      <c r="D126" s="17">
        <v>0.1555264604909791</v>
      </c>
      <c r="E126" s="34">
        <v>8.6012907352146541</v>
      </c>
      <c r="F126" s="17">
        <v>0.17214752470900399</v>
      </c>
      <c r="G126" s="35">
        <f t="shared" si="9"/>
        <v>0.10794428394613824</v>
      </c>
      <c r="H126" s="35">
        <f t="shared" si="10"/>
        <v>0.13151968193839825</v>
      </c>
      <c r="I126" s="36">
        <f t="shared" si="11"/>
        <v>-2.357539799226001</v>
      </c>
    </row>
  </sheetData>
  <mergeCells count="1">
    <mergeCell ref="B5:I5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DCF Cyclicals</vt:lpstr>
      <vt:lpstr>History</vt:lpstr>
      <vt:lpstr>ERP</vt:lpstr>
      <vt:lpstr>gLT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Lopes de Souza</cp:lastModifiedBy>
  <dcterms:created xsi:type="dcterms:W3CDTF">2026-10-08T13:20:34Z</dcterms:created>
  <dcterms:modified xsi:type="dcterms:W3CDTF">2026-10-08T13:20:54Z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