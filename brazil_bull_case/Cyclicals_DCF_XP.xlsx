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64FC8437-7552-4612-B33D-573A256B4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</sheets>
  <definedNames>
    <definedName name="ERP">'DCF Cyclicals'!$C$9</definedName>
    <definedName name="gLT">'DCF Cyclicals'!$C$8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D54" i="1"/>
  <c r="C54" i="1"/>
  <c r="E52" i="1"/>
  <c r="D52" i="1"/>
  <c r="C52" i="1"/>
  <c r="C46" i="1"/>
  <c r="C44" i="1"/>
  <c r="D38" i="1"/>
  <c r="D46" i="1" s="1"/>
  <c r="C38" i="1"/>
  <c r="E37" i="1"/>
  <c r="D37" i="1"/>
  <c r="C37" i="1"/>
  <c r="E36" i="1"/>
  <c r="D36" i="1"/>
  <c r="C36" i="1"/>
  <c r="E35" i="1"/>
  <c r="E43" i="1" s="1"/>
  <c r="D35" i="1"/>
  <c r="D43" i="1" s="1"/>
  <c r="C35" i="1"/>
  <c r="C43" i="1" s="1"/>
  <c r="D34" i="1"/>
  <c r="D44" i="1" s="1"/>
  <c r="C34" i="1"/>
  <c r="E32" i="1"/>
  <c r="E38" i="1" s="1"/>
  <c r="F31" i="1"/>
  <c r="G31" i="1" s="1"/>
  <c r="F30" i="1"/>
  <c r="F36" i="1" s="1"/>
  <c r="F29" i="1"/>
  <c r="G29" i="1" s="1"/>
  <c r="F28" i="1"/>
  <c r="G28" i="1" s="1"/>
  <c r="E28" i="1"/>
  <c r="E34" i="1" s="1"/>
  <c r="E44" i="1" s="1"/>
  <c r="H19" i="1"/>
  <c r="G19" i="1"/>
  <c r="F19" i="1"/>
  <c r="E19" i="1"/>
  <c r="D19" i="1"/>
  <c r="H29" i="1" l="1"/>
  <c r="H35" i="1" s="1"/>
  <c r="H43" i="1" s="1"/>
  <c r="G35" i="1"/>
  <c r="G43" i="1" s="1"/>
  <c r="F34" i="1"/>
  <c r="F44" i="1" s="1"/>
  <c r="F45" i="1" s="1"/>
  <c r="F35" i="1"/>
  <c r="F43" i="1" s="1"/>
  <c r="G30" i="1"/>
  <c r="G36" i="1" s="1"/>
  <c r="G42" i="1" s="1"/>
  <c r="G47" i="1" s="1"/>
  <c r="D45" i="1"/>
  <c r="F37" i="1"/>
  <c r="E45" i="1"/>
  <c r="H28" i="1"/>
  <c r="H34" i="1" s="1"/>
  <c r="H44" i="1" s="1"/>
  <c r="H45" i="1" s="1"/>
  <c r="G34" i="1"/>
  <c r="G44" i="1" s="1"/>
  <c r="G45" i="1" s="1"/>
  <c r="G46" i="1"/>
  <c r="G37" i="1"/>
  <c r="H31" i="1"/>
  <c r="H37" i="1" s="1"/>
  <c r="C42" i="1"/>
  <c r="C47" i="1" s="1"/>
  <c r="D42" i="1"/>
  <c r="D47" i="1" s="1"/>
  <c r="E42" i="1"/>
  <c r="F32" i="1"/>
  <c r="H30" i="1" l="1"/>
  <c r="H36" i="1" s="1"/>
  <c r="H42" i="1" s="1"/>
  <c r="F42" i="1"/>
  <c r="F46" i="1" s="1"/>
  <c r="F47" i="1" s="1"/>
  <c r="H46" i="1"/>
  <c r="H47" i="1" s="1"/>
  <c r="F38" i="1"/>
  <c r="G32" i="1"/>
  <c r="E46" i="1"/>
  <c r="E47" i="1" s="1"/>
  <c r="D63" i="1" l="1"/>
  <c r="D55" i="1"/>
  <c r="C55" i="1"/>
  <c r="E55" i="1"/>
  <c r="H71" i="1"/>
  <c r="H69" i="1"/>
  <c r="H67" i="1"/>
  <c r="C56" i="1"/>
  <c r="C57" i="1" s="1"/>
  <c r="C59" i="1" s="1"/>
  <c r="C69" i="1"/>
  <c r="D56" i="1"/>
  <c r="D57" i="1" s="1"/>
  <c r="D59" i="1" s="1"/>
  <c r="G71" i="1"/>
  <c r="G69" i="1"/>
  <c r="G67" i="1"/>
  <c r="C71" i="1"/>
  <c r="F71" i="1"/>
  <c r="F69" i="1"/>
  <c r="F67" i="1"/>
  <c r="C67" i="1"/>
  <c r="H70" i="1"/>
  <c r="E71" i="1"/>
  <c r="E69" i="1"/>
  <c r="E67" i="1"/>
  <c r="D71" i="1"/>
  <c r="D69" i="1"/>
  <c r="D67" i="1"/>
  <c r="H68" i="1"/>
  <c r="E56" i="1"/>
  <c r="E57" i="1" s="1"/>
  <c r="E59" i="1" s="1"/>
  <c r="C70" i="1"/>
  <c r="G70" i="1"/>
  <c r="G68" i="1"/>
  <c r="E68" i="1"/>
  <c r="D68" i="1"/>
  <c r="F70" i="1"/>
  <c r="F68" i="1"/>
  <c r="E70" i="1"/>
  <c r="D70" i="1"/>
  <c r="C68" i="1"/>
  <c r="G38" i="1"/>
  <c r="H32" i="1"/>
  <c r="H38" i="1" s="1"/>
  <c r="E60" i="1" l="1"/>
  <c r="E61" i="1" s="1"/>
  <c r="C60" i="1"/>
  <c r="C61" i="1" s="1"/>
  <c r="D60" i="1"/>
  <c r="D61" i="1" s="1"/>
  <c r="E62" i="1" l="1"/>
  <c r="C62" i="1"/>
  <c r="D62" i="1"/>
</calcChain>
</file>

<file path=xl/sharedStrings.xml><?xml version="1.0" encoding="utf-8"?>
<sst xmlns="http://schemas.openxmlformats.org/spreadsheetml/2006/main" count="117" uniqueCount="97">
  <si>
    <t>Cyclicals - DCF (end-2027)</t>
  </si>
  <si>
    <t>The Cyclicals block of the main model (DCF by Box), on its own: the box's share of each house line, FCFF with the box rules, CAPM rate, Gordon perpetuity. Same result as Ibov_house_2027_by_box_XP.xlsx.</t>
  </si>
  <si>
    <t>Legend:</t>
  </si>
  <si>
    <t>input</t>
  </si>
  <si>
    <t>assumption</t>
  </si>
  <si>
    <t>formula</t>
  </si>
  <si>
    <t>1. Assumptions</t>
  </si>
  <si>
    <t>Item</t>
  </si>
  <si>
    <t>Value</t>
  </si>
  <si>
    <t>Source / note</t>
  </si>
  <si>
    <t>Cyclicals, index points today</t>
  </si>
  <si>
    <t>Members' weight x Ibovespa close of Oct-5-2026 (208,432); Box Shares!C9 of the main model.</t>
  </si>
  <si>
    <t>Long-term growth of the FCFF (g)</t>
  </si>
  <si>
    <t>House perpetuity growth (DCF Ibov 2026_Out.xlsx, Target!B54).</t>
  </si>
  <si>
    <t>Equity risk premium (ERP)</t>
  </si>
  <si>
    <t>House ERP (Target!B57).</t>
  </si>
  <si>
    <t>Beta of Cyclicals (weekly, 5 years, vs. the Ibovespa)</t>
  </si>
  <si>
    <t>Computed from the local box index (Box Betas!I9 of the main model).</t>
  </si>
  <si>
    <t>Working capital, % of sales</t>
  </si>
  <si>
    <t>House assumption (Assumptions!C15).</t>
  </si>
  <si>
    <t>ROE of Cyclicals, FY28 consensus</t>
  </si>
  <si>
    <t>Members' BEST_ROE FY28, aggregated as net income / book value (Box Shares!E46). Sets the reinvestment that funds growth.</t>
  </si>
  <si>
    <t>Earnings beta of Cyclicals to the Ibovespa ex-Commodities</t>
  </si>
  <si>
    <t>12-month log change of the 12m fwd EPS index, Oct-07 to Sep-26 (Box Earnings!I9).</t>
  </si>
  <si>
    <t>Normalization factor of the domestic earnings betas</t>
  </si>
  <si>
    <t>Weighted average beta of Financials, Defensives and Cyclicals = 1 (Box Earnings!I16).</t>
  </si>
  <si>
    <t>2. House lines for the Ibovespa (index points; DCF Ibov 2026_Out.xlsx, Target sheet)</t>
  </si>
  <si>
    <t>Line</t>
  </si>
  <si>
    <t>2026</t>
  </si>
  <si>
    <t>2027</t>
  </si>
  <si>
    <t>2028</t>
  </si>
  <si>
    <t>2029</t>
  </si>
  <si>
    <t>2030</t>
  </si>
  <si>
    <t>2031</t>
  </si>
  <si>
    <t>How it is calculated</t>
  </si>
  <si>
    <t>Sales</t>
  </si>
  <si>
    <t>House model; 2028+ are the house projections.</t>
  </si>
  <si>
    <t>EBIT</t>
  </si>
  <si>
    <t>EBITDA</t>
  </si>
  <si>
    <t>Net income</t>
  </si>
  <si>
    <t>Capex</t>
  </si>
  <si>
    <t>Sales growth</t>
  </si>
  <si>
    <t>2028+: the house nominal GDP growth (6.08%). Drives the reinvestment in section 4.</t>
  </si>
  <si>
    <t>Tax rate</t>
  </si>
  <si>
    <t>House (-24%).</t>
  </si>
  <si>
    <t>3. Cyclicals' share of each line (members' consensus, Bloomberg, Oct-7-2026) and the box's lines</t>
  </si>
  <si>
    <t>Share of sales</t>
  </si>
  <si>
    <t>Consensus 2026-27; 2028+ as 2027 (the house projects sales from 2027).</t>
  </si>
  <si>
    <t>Share of ebit</t>
  </si>
  <si>
    <t>Consensus 2026-28; 2029+ as 2028.</t>
  </si>
  <si>
    <t>Share of ebitda</t>
  </si>
  <si>
    <t>Share of net income</t>
  </si>
  <si>
    <t>Share of capex</t>
  </si>
  <si>
    <t>Consensus 2026-27; 2028+ as 2027.</t>
  </si>
  <si>
    <t>Sales of Cyclicals</t>
  </si>
  <si>
    <t>House line x share.</t>
  </si>
  <si>
    <t>EBIT of Cyclicals</t>
  </si>
  <si>
    <t>EBITDA of Cyclicals</t>
  </si>
  <si>
    <t>Net income of Cyclicals</t>
  </si>
  <si>
    <t>Capex of Cyclicals</t>
  </si>
  <si>
    <t>4. Free cash flow to the firm (box rules)</t>
  </si>
  <si>
    <t>D&amp;A = EBITDA - EBIT</t>
  </si>
  <si>
    <t>NOPAT = EBIT x (1 + tax rate)</t>
  </si>
  <si>
    <t>Working capital = -NWC % x sales</t>
  </si>
  <si>
    <t>Change in working capital</t>
  </si>
  <si>
    <t>Capex: consensus (2026-27); 2028+ = -(D&amp;A + sales growth x NOPAT / ROE)</t>
  </si>
  <si>
    <t>2028+: replaces the D&amp;A and pays for the growth: reinvestment = growth / ROE of the NOPAT.</t>
  </si>
  <si>
    <t>FCFF = D&amp;A + NOPAT + capex + change in working capital</t>
  </si>
  <si>
    <t>2026 uses the working-capital level (no 2025 for the change); only 2028-31 enter the value.</t>
  </si>
  <si>
    <t>5. Valuation at the end of 2027</t>
  </si>
  <si>
    <t>Bear</t>
  </si>
  <si>
    <t>Base</t>
  </si>
  <si>
    <t>Bull</t>
  </si>
  <si>
    <t>5-year real rate (NTN-B)</t>
  </si>
  <si>
    <t>Bear 8.5% as the house; base = today's 5y real rate; bull 5.5%.</t>
  </si>
  <si>
    <t>Discount rate = real rate + beta x ERP (CAPM)</t>
  </si>
  <si>
    <t>The house convention: real rate + premium discounts the nominal flows.</t>
  </si>
  <si>
    <t>Earnings level shock of the Ibovespa ex-Commodities</t>
  </si>
  <si>
    <t>Symmetric +/-20% (the house bottom-up uses the same size).</t>
  </si>
  <si>
    <t>Earnings shock of Cyclicals = beta x normalization x shock</t>
  </si>
  <si>
    <t>Moves the level of every FCFF, 2028 on.</t>
  </si>
  <si>
    <t>PV of FCFF 2028-31 = (1 + shock) x NPV(rate, FCFF 2028-31)</t>
  </si>
  <si>
    <t>Excel NPV: 2028 discounted one year (value at end-2027).</t>
  </si>
  <si>
    <t>FCFF 2031 in the scenario = FCFF 2031 x (1 + shock)</t>
  </si>
  <si>
    <t>Terminal value at end-2031 = FCFF 2031 x (1 + g) / (rate - g)</t>
  </si>
  <si>
    <t>Gordon perpetuity, as the house.</t>
  </si>
  <si>
    <t>Periods the terminal value is discounted</t>
  </si>
  <si>
    <t>As the house (FixTV = 0): one period more than the last flow.</t>
  </si>
  <si>
    <t>PV of the terminal value</t>
  </si>
  <si>
    <t>Fair value of Cyclicals at the end of 2027 (index pts)</t>
  </si>
  <si>
    <t>No net debt subtracted and no rescale to the house value (defaults of the main model).</t>
  </si>
  <si>
    <t>Upside vs. today</t>
  </si>
  <si>
    <t>Terminal value share of the fair value</t>
  </si>
  <si>
    <t>FCFF 2028 yield on today's points</t>
  </si>
  <si>
    <t>Compare with the base rate: the gap is the growth the price assumes.</t>
  </si>
  <si>
    <t>6. Base upside (no earnings shock): 5-year real rate (rows) x g (columns)</t>
  </si>
  <si>
    <t>Real rate \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</si>
</sst>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00"/>
    <numFmt numFmtId="167" formatCode="\+0.0%;\-0.0%;0.0%"/>
  </numFmts>
  <fonts count="12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  <font>
      <b/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9" fillId="2" borderId="1" xfId="0" applyNumberFormat="1" applyFont="1" applyFill="1" applyBorder="1" applyAlignment="1">
      <alignment vertical="center"/>
    </xf>
    <xf numFmtId="2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0" fontId="9" fillId="2" borderId="1" xfId="0" applyNumberFormat="1" applyFont="1" applyFill="1" applyBorder="1" applyAlignment="1">
      <alignment vertical="center"/>
    </xf>
    <xf numFmtId="167" fontId="9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" fontId="9" fillId="2" borderId="1" xfId="0" applyNumberFormat="1" applyFont="1" applyFill="1" applyBorder="1" applyAlignment="1">
      <alignment vertical="center"/>
    </xf>
    <xf numFmtId="167" fontId="10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7" fontId="11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71"/>
  <sheetViews>
    <sheetView showGridLines="0" tabSelected="1" zoomScale="85" zoomScaleNormal="85" workbookViewId="0">
      <pane ySplit="4" topLeftCell="A5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66.6640625" customWidth="1"/>
    <col min="3" max="8" width="12.6640625" customWidth="1"/>
    <col min="9" max="9" width="2.6640625" customWidth="1"/>
    <col min="10" max="10" width="100.6640625" customWidth="1"/>
  </cols>
  <sheetData>
    <row r="1" spans="2:10" ht="30" customHeight="1" x14ac:dyDescent="0.3">
      <c r="B1" s="1" t="s">
        <v>0</v>
      </c>
    </row>
    <row r="2" spans="2:10" ht="13.95" customHeight="1" x14ac:dyDescent="0.3">
      <c r="B2" s="2" t="s">
        <v>1</v>
      </c>
    </row>
    <row r="3" spans="2:10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0" ht="13.95" customHeight="1" x14ac:dyDescent="0.3">
      <c r="B5" s="28" t="s">
        <v>6</v>
      </c>
      <c r="C5" s="28"/>
      <c r="D5" s="28"/>
      <c r="E5" s="28"/>
      <c r="F5" s="28"/>
      <c r="G5" s="28"/>
      <c r="H5" s="28"/>
      <c r="I5" s="28"/>
      <c r="J5" s="28"/>
    </row>
    <row r="6" spans="2:10" ht="13.95" customHeight="1" x14ac:dyDescent="0.3">
      <c r="B6" s="6" t="s">
        <v>7</v>
      </c>
      <c r="C6" s="7" t="s">
        <v>8</v>
      </c>
      <c r="J6" s="7" t="s">
        <v>9</v>
      </c>
    </row>
    <row r="7" spans="2:10" ht="13.95" customHeight="1" x14ac:dyDescent="0.3">
      <c r="B7" s="8" t="s">
        <v>10</v>
      </c>
      <c r="C7" s="9">
        <v>26271.074646272009</v>
      </c>
      <c r="J7" s="2" t="s">
        <v>11</v>
      </c>
    </row>
    <row r="8" spans="2:10" ht="13.95" customHeight="1" x14ac:dyDescent="0.3">
      <c r="B8" s="8" t="s">
        <v>12</v>
      </c>
      <c r="C8" s="10">
        <v>4.7E-2</v>
      </c>
      <c r="J8" s="2" t="s">
        <v>13</v>
      </c>
    </row>
    <row r="9" spans="2:10" ht="13.95" customHeight="1" x14ac:dyDescent="0.3">
      <c r="B9" s="8" t="s">
        <v>14</v>
      </c>
      <c r="C9" s="10">
        <v>0.06</v>
      </c>
      <c r="J9" s="2" t="s">
        <v>15</v>
      </c>
    </row>
    <row r="10" spans="2:10" ht="13.95" customHeight="1" x14ac:dyDescent="0.3">
      <c r="B10" s="8" t="s">
        <v>16</v>
      </c>
      <c r="C10" s="11">
        <v>1.150451096712058</v>
      </c>
      <c r="J10" s="2" t="s">
        <v>17</v>
      </c>
    </row>
    <row r="11" spans="2:10" ht="13.95" customHeight="1" x14ac:dyDescent="0.3">
      <c r="B11" s="8" t="s">
        <v>18</v>
      </c>
      <c r="C11" s="10">
        <v>0.04</v>
      </c>
      <c r="J11" s="2" t="s">
        <v>19</v>
      </c>
    </row>
    <row r="12" spans="2:10" ht="13.95" customHeight="1" x14ac:dyDescent="0.3">
      <c r="B12" s="8" t="s">
        <v>20</v>
      </c>
      <c r="C12" s="12">
        <v>0.17906566532369431</v>
      </c>
      <c r="J12" s="2" t="s">
        <v>21</v>
      </c>
    </row>
    <row r="13" spans="2:10" ht="13.95" customHeight="1" x14ac:dyDescent="0.3">
      <c r="B13" s="8" t="s">
        <v>22</v>
      </c>
      <c r="C13" s="11">
        <v>1.4907382358431811</v>
      </c>
      <c r="J13" s="2" t="s">
        <v>23</v>
      </c>
    </row>
    <row r="14" spans="2:10" ht="13.95" customHeight="1" x14ac:dyDescent="0.3">
      <c r="B14" s="8" t="s">
        <v>24</v>
      </c>
      <c r="C14" s="13">
        <v>1.186858777515015</v>
      </c>
      <c r="J14" s="2" t="s">
        <v>25</v>
      </c>
    </row>
    <row r="16" spans="2:10" ht="13.95" customHeight="1" x14ac:dyDescent="0.3">
      <c r="B16" s="28" t="s">
        <v>26</v>
      </c>
      <c r="C16" s="28"/>
      <c r="D16" s="28"/>
      <c r="E16" s="28"/>
      <c r="F16" s="28"/>
      <c r="G16" s="28"/>
      <c r="H16" s="28"/>
      <c r="I16" s="28"/>
      <c r="J16" s="28"/>
    </row>
    <row r="17" spans="2:10" ht="13.95" customHeight="1" x14ac:dyDescent="0.3">
      <c r="B17" s="6" t="s">
        <v>27</v>
      </c>
      <c r="C17" s="7" t="s">
        <v>28</v>
      </c>
      <c r="D17" s="7" t="s">
        <v>29</v>
      </c>
      <c r="E17" s="7" t="s">
        <v>30</v>
      </c>
      <c r="F17" s="7" t="s">
        <v>31</v>
      </c>
      <c r="G17" s="7" t="s">
        <v>32</v>
      </c>
      <c r="H17" s="7" t="s">
        <v>33</v>
      </c>
      <c r="J17" s="7" t="s">
        <v>34</v>
      </c>
    </row>
    <row r="18" spans="2:10" ht="13.95" customHeight="1" x14ac:dyDescent="0.3">
      <c r="B18" s="8" t="s">
        <v>35</v>
      </c>
      <c r="C18" s="9">
        <v>158921</v>
      </c>
      <c r="D18" s="9">
        <v>163769</v>
      </c>
      <c r="E18" s="9">
        <v>173726.15520000001</v>
      </c>
      <c r="F18" s="9">
        <v>184288.70543616</v>
      </c>
      <c r="G18" s="9">
        <v>195493.45872667851</v>
      </c>
      <c r="H18" s="9">
        <v>207379.46101726059</v>
      </c>
      <c r="J18" s="2" t="s">
        <v>36</v>
      </c>
    </row>
    <row r="19" spans="2:10" ht="13.95" customHeight="1" x14ac:dyDescent="0.3">
      <c r="B19" s="8" t="s">
        <v>41</v>
      </c>
      <c r="D19" s="14">
        <f>D18/C18-1</f>
        <v>3.0505722969274007E-2</v>
      </c>
      <c r="E19" s="14">
        <f>E18/D18-1</f>
        <v>6.0799999999999965E-2</v>
      </c>
      <c r="F19" s="14">
        <f>F18/E18-1</f>
        <v>6.0799999999999965E-2</v>
      </c>
      <c r="G19" s="14">
        <f>G18/F18-1</f>
        <v>6.0799999999999965E-2</v>
      </c>
      <c r="H19" s="14">
        <f>H18/G18-1</f>
        <v>6.0800000000000187E-2</v>
      </c>
      <c r="J19" s="2" t="s">
        <v>42</v>
      </c>
    </row>
    <row r="20" spans="2:10" ht="13.95" customHeight="1" x14ac:dyDescent="0.3">
      <c r="B20" s="8" t="s">
        <v>37</v>
      </c>
      <c r="C20" s="9">
        <v>33080</v>
      </c>
      <c r="D20" s="9">
        <v>34883</v>
      </c>
      <c r="E20" s="9">
        <v>37322.01</v>
      </c>
      <c r="F20" s="9">
        <v>39591.188208</v>
      </c>
      <c r="G20" s="9">
        <v>41998.332451046401</v>
      </c>
      <c r="H20" s="9">
        <v>44551.831064070029</v>
      </c>
    </row>
    <row r="21" spans="2:10" ht="13.95" customHeight="1" x14ac:dyDescent="0.3">
      <c r="B21" s="8" t="s">
        <v>38</v>
      </c>
      <c r="C21" s="9">
        <v>49324</v>
      </c>
      <c r="D21" s="9">
        <v>50717</v>
      </c>
      <c r="E21" s="9">
        <v>51996.99</v>
      </c>
      <c r="F21" s="9">
        <v>55286.611630847998</v>
      </c>
      <c r="G21" s="9">
        <v>58648.03761800356</v>
      </c>
      <c r="H21" s="9">
        <v>62213.838305178171</v>
      </c>
    </row>
    <row r="22" spans="2:10" ht="13.95" customHeight="1" x14ac:dyDescent="0.3">
      <c r="B22" s="8" t="s">
        <v>39</v>
      </c>
      <c r="C22" s="9">
        <v>20958</v>
      </c>
      <c r="D22" s="9">
        <v>21666</v>
      </c>
      <c r="E22" s="9">
        <v>23177</v>
      </c>
      <c r="F22" s="9">
        <v>24586.161599999999</v>
      </c>
      <c r="G22" s="9">
        <v>26081.00022528</v>
      </c>
      <c r="H22" s="9">
        <v>27666.725038977031</v>
      </c>
    </row>
    <row r="23" spans="2:10" ht="13.95" customHeight="1" x14ac:dyDescent="0.3">
      <c r="B23" s="8" t="s">
        <v>40</v>
      </c>
      <c r="C23" s="9">
        <v>-19159</v>
      </c>
      <c r="D23" s="9">
        <v>-19333</v>
      </c>
      <c r="E23" s="9">
        <v>-19109.877071999999</v>
      </c>
      <c r="F23" s="9">
        <v>-20271.757597977601</v>
      </c>
      <c r="G23" s="9">
        <v>-17594.411285401071</v>
      </c>
      <c r="H23" s="9">
        <v>-18664.15149155345</v>
      </c>
    </row>
    <row r="24" spans="2:10" ht="13.95" customHeight="1" x14ac:dyDescent="0.3">
      <c r="B24" s="8" t="s">
        <v>43</v>
      </c>
      <c r="C24" s="12">
        <v>-0.24</v>
      </c>
      <c r="D24" s="12">
        <v>-0.24</v>
      </c>
      <c r="E24" s="12">
        <v>-0.24</v>
      </c>
      <c r="F24" s="12">
        <v>-0.24</v>
      </c>
      <c r="G24" s="12">
        <v>-0.24</v>
      </c>
      <c r="H24" s="12">
        <v>-0.24</v>
      </c>
      <c r="J24" s="2" t="s">
        <v>44</v>
      </c>
    </row>
    <row r="26" spans="2:10" ht="13.95" customHeight="1" x14ac:dyDescent="0.3">
      <c r="B26" s="28" t="s">
        <v>45</v>
      </c>
      <c r="C26" s="28"/>
      <c r="D26" s="28"/>
      <c r="E26" s="28"/>
      <c r="F26" s="28"/>
      <c r="G26" s="28"/>
      <c r="H26" s="28"/>
      <c r="I26" s="28"/>
      <c r="J26" s="28"/>
    </row>
    <row r="27" spans="2:10" ht="13.95" customHeight="1" x14ac:dyDescent="0.3">
      <c r="B27" s="6" t="s">
        <v>27</v>
      </c>
      <c r="C27" s="7" t="s">
        <v>28</v>
      </c>
      <c r="D27" s="7" t="s">
        <v>29</v>
      </c>
      <c r="E27" s="7" t="s">
        <v>30</v>
      </c>
      <c r="F27" s="7" t="s">
        <v>31</v>
      </c>
      <c r="G27" s="7" t="s">
        <v>32</v>
      </c>
      <c r="H27" s="7" t="s">
        <v>33</v>
      </c>
      <c r="J27" s="7" t="s">
        <v>34</v>
      </c>
    </row>
    <row r="28" spans="2:10" ht="13.95" customHeight="1" x14ac:dyDescent="0.3">
      <c r="B28" s="8" t="s">
        <v>46</v>
      </c>
      <c r="C28" s="15">
        <v>0.1055833891549505</v>
      </c>
      <c r="D28" s="15">
        <v>0.11218492273504389</v>
      </c>
      <c r="E28" s="16">
        <f>D28</f>
        <v>0.11218492273504389</v>
      </c>
      <c r="F28" s="16">
        <f>E28</f>
        <v>0.11218492273504389</v>
      </c>
      <c r="G28" s="16">
        <f>F28</f>
        <v>0.11218492273504389</v>
      </c>
      <c r="H28" s="16">
        <f>G28</f>
        <v>0.11218492273504389</v>
      </c>
      <c r="J28" s="2" t="s">
        <v>47</v>
      </c>
    </row>
    <row r="29" spans="2:10" ht="13.95" customHeight="1" x14ac:dyDescent="0.3">
      <c r="B29" s="8" t="s">
        <v>48</v>
      </c>
      <c r="C29" s="15">
        <v>9.3515305351814196E-2</v>
      </c>
      <c r="D29" s="15">
        <v>0.1005388512900445</v>
      </c>
      <c r="E29" s="15">
        <v>0.10599900182268419</v>
      </c>
      <c r="F29" s="16">
        <f t="shared" ref="F29:H32" si="0">E29</f>
        <v>0.10599900182268419</v>
      </c>
      <c r="G29" s="16">
        <f t="shared" si="0"/>
        <v>0.10599900182268419</v>
      </c>
      <c r="H29" s="16">
        <f t="shared" si="0"/>
        <v>0.10599900182268419</v>
      </c>
      <c r="J29" s="2" t="s">
        <v>49</v>
      </c>
    </row>
    <row r="30" spans="2:10" ht="13.95" customHeight="1" x14ac:dyDescent="0.3">
      <c r="B30" s="8" t="s">
        <v>50</v>
      </c>
      <c r="C30" s="15">
        <v>8.5481331450433559E-2</v>
      </c>
      <c r="D30" s="15">
        <v>9.1865830268510279E-2</v>
      </c>
      <c r="E30" s="15">
        <v>9.744481626063714E-2</v>
      </c>
      <c r="F30" s="16">
        <f t="shared" si="0"/>
        <v>9.744481626063714E-2</v>
      </c>
      <c r="G30" s="16">
        <f t="shared" si="0"/>
        <v>9.744481626063714E-2</v>
      </c>
      <c r="H30" s="16">
        <f t="shared" si="0"/>
        <v>9.744481626063714E-2</v>
      </c>
      <c r="J30" s="2" t="s">
        <v>49</v>
      </c>
    </row>
    <row r="31" spans="2:10" ht="13.95" customHeight="1" x14ac:dyDescent="0.3">
      <c r="B31" s="8" t="s">
        <v>51</v>
      </c>
      <c r="C31" s="15">
        <v>7.6659923345471892E-2</v>
      </c>
      <c r="D31" s="15">
        <v>8.891948976656959E-2</v>
      </c>
      <c r="E31" s="15">
        <v>9.8542148372668933E-2</v>
      </c>
      <c r="F31" s="16">
        <f t="shared" si="0"/>
        <v>9.8542148372668933E-2</v>
      </c>
      <c r="G31" s="16">
        <f t="shared" si="0"/>
        <v>9.8542148372668933E-2</v>
      </c>
      <c r="H31" s="16">
        <f t="shared" si="0"/>
        <v>9.8542148372668933E-2</v>
      </c>
      <c r="J31" s="2" t="s">
        <v>49</v>
      </c>
    </row>
    <row r="32" spans="2:10" ht="13.95" customHeight="1" x14ac:dyDescent="0.3">
      <c r="B32" s="8" t="s">
        <v>52</v>
      </c>
      <c r="C32" s="15">
        <v>0.1369081089086292</v>
      </c>
      <c r="D32" s="15">
        <v>0.14132059013869361</v>
      </c>
      <c r="E32" s="16">
        <f>D32</f>
        <v>0.14132059013869361</v>
      </c>
      <c r="F32" s="16">
        <f t="shared" si="0"/>
        <v>0.14132059013869361</v>
      </c>
      <c r="G32" s="16">
        <f t="shared" si="0"/>
        <v>0.14132059013869361</v>
      </c>
      <c r="H32" s="16">
        <f t="shared" si="0"/>
        <v>0.14132059013869361</v>
      </c>
      <c r="J32" s="2" t="s">
        <v>53</v>
      </c>
    </row>
    <row r="34" spans="2:10" ht="13.95" customHeight="1" x14ac:dyDescent="0.3">
      <c r="B34" s="8" t="s">
        <v>54</v>
      </c>
      <c r="C34" s="17">
        <f t="shared" ref="C34:H34" si="1">C18*C28</f>
        <v>16779.417787893886</v>
      </c>
      <c r="D34" s="17">
        <f t="shared" si="1"/>
        <v>18372.412611395404</v>
      </c>
      <c r="E34" s="17">
        <f t="shared" si="1"/>
        <v>19489.455298168246</v>
      </c>
      <c r="F34" s="17">
        <f t="shared" si="1"/>
        <v>20674.414180296873</v>
      </c>
      <c r="G34" s="17">
        <f t="shared" si="1"/>
        <v>21931.418562458923</v>
      </c>
      <c r="H34" s="17">
        <f t="shared" si="1"/>
        <v>23264.848811056425</v>
      </c>
      <c r="J34" s="2" t="s">
        <v>55</v>
      </c>
    </row>
    <row r="35" spans="2:10" ht="13.95" customHeight="1" x14ac:dyDescent="0.3">
      <c r="B35" s="8" t="s">
        <v>56</v>
      </c>
      <c r="C35" s="17">
        <f t="shared" ref="C35:H38" si="2">C20*C29</f>
        <v>3093.4863010380136</v>
      </c>
      <c r="D35" s="17">
        <f t="shared" si="2"/>
        <v>3507.0967495506225</v>
      </c>
      <c r="E35" s="17">
        <f t="shared" si="2"/>
        <v>3956.0958060162379</v>
      </c>
      <c r="F35" s="17">
        <f t="shared" si="2"/>
        <v>4196.6264310220249</v>
      </c>
      <c r="G35" s="17">
        <f t="shared" si="2"/>
        <v>4451.7813180281646</v>
      </c>
      <c r="H35" s="17">
        <f t="shared" si="2"/>
        <v>4722.4496221642776</v>
      </c>
    </row>
    <row r="36" spans="2:10" ht="13.95" customHeight="1" x14ac:dyDescent="0.3">
      <c r="B36" s="8" t="s">
        <v>57</v>
      </c>
      <c r="C36" s="17">
        <f t="shared" si="2"/>
        <v>4216.2811924611851</v>
      </c>
      <c r="D36" s="17">
        <f t="shared" si="2"/>
        <v>4659.1593137280361</v>
      </c>
      <c r="E36" s="17">
        <f t="shared" si="2"/>
        <v>5066.8371366561869</v>
      </c>
      <c r="F36" s="17">
        <f t="shared" si="2"/>
        <v>5387.3937120411874</v>
      </c>
      <c r="G36" s="17">
        <f t="shared" si="2"/>
        <v>5714.9472497332918</v>
      </c>
      <c r="H36" s="17">
        <f t="shared" si="2"/>
        <v>6062.4160425170758</v>
      </c>
    </row>
    <row r="37" spans="2:10" ht="13.95" customHeight="1" x14ac:dyDescent="0.3">
      <c r="B37" s="18" t="s">
        <v>58</v>
      </c>
      <c r="C37" s="19">
        <f t="shared" si="2"/>
        <v>1606.6386734743999</v>
      </c>
      <c r="D37" s="19">
        <f t="shared" si="2"/>
        <v>1926.5296652824968</v>
      </c>
      <c r="E37" s="19">
        <f t="shared" si="2"/>
        <v>2283.9113728333477</v>
      </c>
      <c r="F37" s="19">
        <f t="shared" si="2"/>
        <v>2422.7731843016154</v>
      </c>
      <c r="G37" s="19">
        <f t="shared" si="2"/>
        <v>2570.0777939071536</v>
      </c>
      <c r="H37" s="19">
        <f t="shared" si="2"/>
        <v>2726.3385237767093</v>
      </c>
    </row>
    <row r="38" spans="2:10" ht="13.95" customHeight="1" x14ac:dyDescent="0.3">
      <c r="B38" s="8" t="s">
        <v>59</v>
      </c>
      <c r="C38" s="17">
        <f t="shared" si="2"/>
        <v>-2623.0224585804267</v>
      </c>
      <c r="D38" s="17">
        <f t="shared" si="2"/>
        <v>-2732.1509691513634</v>
      </c>
      <c r="E38" s="17">
        <f t="shared" si="2"/>
        <v>-2700.6191052929303</v>
      </c>
      <c r="F38" s="17">
        <f t="shared" si="2"/>
        <v>-2864.8167468947404</v>
      </c>
      <c r="G38" s="17">
        <f t="shared" si="2"/>
        <v>-2486.4525859957703</v>
      </c>
      <c r="H38" s="17">
        <f t="shared" si="2"/>
        <v>-2637.6289032243121</v>
      </c>
    </row>
    <row r="40" spans="2:10" ht="13.95" customHeight="1" x14ac:dyDescent="0.3">
      <c r="B40" s="28" t="s">
        <v>60</v>
      </c>
      <c r="C40" s="28"/>
      <c r="D40" s="28"/>
      <c r="E40" s="28"/>
      <c r="F40" s="28"/>
      <c r="G40" s="28"/>
      <c r="H40" s="28"/>
      <c r="I40" s="28"/>
      <c r="J40" s="28"/>
    </row>
    <row r="41" spans="2:10" ht="13.95" customHeight="1" x14ac:dyDescent="0.3">
      <c r="B41" s="6" t="s">
        <v>27</v>
      </c>
      <c r="C41" s="7" t="s">
        <v>28</v>
      </c>
      <c r="D41" s="7" t="s">
        <v>29</v>
      </c>
      <c r="E41" s="7" t="s">
        <v>30</v>
      </c>
      <c r="F41" s="7" t="s">
        <v>31</v>
      </c>
      <c r="G41" s="7" t="s">
        <v>32</v>
      </c>
      <c r="H41" s="7" t="s">
        <v>33</v>
      </c>
      <c r="J41" s="7" t="s">
        <v>34</v>
      </c>
    </row>
    <row r="42" spans="2:10" ht="13.95" customHeight="1" x14ac:dyDescent="0.3">
      <c r="B42" s="8" t="s">
        <v>61</v>
      </c>
      <c r="C42" s="17">
        <f t="shared" ref="C42:H42" si="3">C36-C35</f>
        <v>1122.7948914231715</v>
      </c>
      <c r="D42" s="17">
        <f t="shared" si="3"/>
        <v>1152.0625641774136</v>
      </c>
      <c r="E42" s="17">
        <f t="shared" si="3"/>
        <v>1110.741330639949</v>
      </c>
      <c r="F42" s="17">
        <f t="shared" si="3"/>
        <v>1190.7672810191625</v>
      </c>
      <c r="G42" s="17">
        <f t="shared" si="3"/>
        <v>1263.1659317051272</v>
      </c>
      <c r="H42" s="17">
        <f t="shared" si="3"/>
        <v>1339.9664203527982</v>
      </c>
    </row>
    <row r="43" spans="2:10" ht="13.95" customHeight="1" x14ac:dyDescent="0.3">
      <c r="B43" s="8" t="s">
        <v>62</v>
      </c>
      <c r="C43" s="17">
        <f t="shared" ref="C43:H43" si="4">C35*(1+C24)</f>
        <v>2351.0495887888906</v>
      </c>
      <c r="D43" s="17">
        <f t="shared" si="4"/>
        <v>2665.3935296584732</v>
      </c>
      <c r="E43" s="17">
        <f t="shared" si="4"/>
        <v>3006.6328125723408</v>
      </c>
      <c r="F43" s="17">
        <f t="shared" si="4"/>
        <v>3189.4360875767388</v>
      </c>
      <c r="G43" s="17">
        <f t="shared" si="4"/>
        <v>3383.3538017014052</v>
      </c>
      <c r="H43" s="17">
        <f t="shared" si="4"/>
        <v>3589.0617128448512</v>
      </c>
    </row>
    <row r="44" spans="2:10" ht="13.95" customHeight="1" x14ac:dyDescent="0.3">
      <c r="B44" s="8" t="s">
        <v>63</v>
      </c>
      <c r="C44" s="17">
        <f t="shared" ref="C44:H44" si="5">-$C$11*C34</f>
        <v>-671.17671151575541</v>
      </c>
      <c r="D44" s="17">
        <f t="shared" si="5"/>
        <v>-734.89650445581617</v>
      </c>
      <c r="E44" s="17">
        <f t="shared" si="5"/>
        <v>-779.57821192672986</v>
      </c>
      <c r="F44" s="17">
        <f t="shared" si="5"/>
        <v>-826.97656721187491</v>
      </c>
      <c r="G44" s="17">
        <f t="shared" si="5"/>
        <v>-877.25674249835697</v>
      </c>
      <c r="H44" s="17">
        <f t="shared" si="5"/>
        <v>-930.59395244225698</v>
      </c>
    </row>
    <row r="45" spans="2:10" ht="13.95" customHeight="1" x14ac:dyDescent="0.3">
      <c r="B45" s="8" t="s">
        <v>64</v>
      </c>
      <c r="D45" s="17">
        <f>D44-C44</f>
        <v>-63.719792940060756</v>
      </c>
      <c r="E45" s="17">
        <f>E44-D44</f>
        <v>-44.681707470913693</v>
      </c>
      <c r="F45" s="17">
        <f>F44-E44</f>
        <v>-47.398355285145044</v>
      </c>
      <c r="G45" s="17">
        <f>G44-F44</f>
        <v>-50.280175286482063</v>
      </c>
      <c r="H45" s="17">
        <f>H44-G44</f>
        <v>-53.337209943900007</v>
      </c>
    </row>
    <row r="46" spans="2:10" ht="13.95" customHeight="1" x14ac:dyDescent="0.3">
      <c r="B46" s="8" t="s">
        <v>65</v>
      </c>
      <c r="C46" s="17">
        <f>C38</f>
        <v>-2623.0224585804267</v>
      </c>
      <c r="D46" s="17">
        <f>D38</f>
        <v>-2732.1509691513634</v>
      </c>
      <c r="E46" s="17">
        <f>-(E42+E19*E43/$C$12)</f>
        <v>-2131.6141745430359</v>
      </c>
      <c r="F46" s="17">
        <f>-(F42+F19*F43/$C$12)</f>
        <v>-2273.7091938315571</v>
      </c>
      <c r="G46" s="17">
        <f>-(G42+G19*G43/$C$12)</f>
        <v>-2411.950712816516</v>
      </c>
      <c r="H46" s="17">
        <f>-(H42+H19*H43/$C$12)</f>
        <v>-2558.597316155764</v>
      </c>
      <c r="J46" s="2" t="s">
        <v>66</v>
      </c>
    </row>
    <row r="47" spans="2:10" ht="13.95" customHeight="1" x14ac:dyDescent="0.3">
      <c r="B47" s="18" t="s">
        <v>67</v>
      </c>
      <c r="C47" s="19">
        <f>C42+C43+C46+C44</f>
        <v>179.64531011587997</v>
      </c>
      <c r="D47" s="19">
        <f>D42+D43+D46+D45</f>
        <v>1021.5853317444627</v>
      </c>
      <c r="E47" s="19">
        <f>E42+E43+E46+E45</f>
        <v>1941.07826119834</v>
      </c>
      <c r="F47" s="19">
        <f>F42+F43+F46+F45</f>
        <v>2059.0958194791992</v>
      </c>
      <c r="G47" s="19">
        <f>G42+G43+G46+G45</f>
        <v>2184.2888453035343</v>
      </c>
      <c r="H47" s="19">
        <f>H42+H43+H46+H45</f>
        <v>2317.0936070979851</v>
      </c>
      <c r="J47" s="2" t="s">
        <v>68</v>
      </c>
    </row>
    <row r="49" spans="2:10" ht="13.95" customHeight="1" x14ac:dyDescent="0.3">
      <c r="B49" s="28" t="s">
        <v>69</v>
      </c>
      <c r="C49" s="28"/>
      <c r="D49" s="28"/>
      <c r="E49" s="28"/>
      <c r="F49" s="28"/>
      <c r="G49" s="28"/>
      <c r="H49" s="28"/>
      <c r="I49" s="28"/>
      <c r="J49" s="28"/>
    </row>
    <row r="50" spans="2:10" ht="13.95" customHeight="1" x14ac:dyDescent="0.3">
      <c r="B50" s="6" t="s">
        <v>7</v>
      </c>
      <c r="C50" s="7" t="s">
        <v>70</v>
      </c>
      <c r="D50" s="7" t="s">
        <v>71</v>
      </c>
      <c r="E50" s="7" t="s">
        <v>72</v>
      </c>
      <c r="J50" s="7" t="s">
        <v>34</v>
      </c>
    </row>
    <row r="51" spans="2:10" ht="13.95" customHeight="1" x14ac:dyDescent="0.3">
      <c r="B51" s="8" t="s">
        <v>73</v>
      </c>
      <c r="C51" s="20">
        <v>8.5000000000000006E-2</v>
      </c>
      <c r="D51" s="20">
        <v>6.7599999999999993E-2</v>
      </c>
      <c r="E51" s="20">
        <v>5.5E-2</v>
      </c>
      <c r="J51" s="2" t="s">
        <v>74</v>
      </c>
    </row>
    <row r="52" spans="2:10" ht="13.95" customHeight="1" x14ac:dyDescent="0.3">
      <c r="B52" s="8" t="s">
        <v>75</v>
      </c>
      <c r="C52" s="16">
        <f>C51+$C$10*ERP</f>
        <v>0.15402706580272349</v>
      </c>
      <c r="D52" s="16">
        <f>D51+$C$10*ERP</f>
        <v>0.13662706580272349</v>
      </c>
      <c r="E52" s="16">
        <f>E51+$C$10*ERP</f>
        <v>0.12402706580272349</v>
      </c>
      <c r="J52" s="2" t="s">
        <v>76</v>
      </c>
    </row>
    <row r="53" spans="2:10" ht="13.95" customHeight="1" x14ac:dyDescent="0.3">
      <c r="B53" s="8" t="s">
        <v>77</v>
      </c>
      <c r="C53" s="21">
        <v>-0.2</v>
      </c>
      <c r="D53" s="21">
        <v>0</v>
      </c>
      <c r="E53" s="21">
        <v>0.2</v>
      </c>
      <c r="J53" s="2" t="s">
        <v>78</v>
      </c>
    </row>
    <row r="54" spans="2:10" ht="13.95" customHeight="1" x14ac:dyDescent="0.3">
      <c r="B54" s="8" t="s">
        <v>79</v>
      </c>
      <c r="C54" s="22">
        <f>$C$13*$C$14*C53</f>
        <v>-0.35385915203754559</v>
      </c>
      <c r="D54" s="22">
        <f>$C$13*$C$14*D53</f>
        <v>0</v>
      </c>
      <c r="E54" s="22">
        <f>$C$13*$C$14*E53</f>
        <v>0.35385915203754559</v>
      </c>
      <c r="J54" s="2" t="s">
        <v>80</v>
      </c>
    </row>
    <row r="55" spans="2:10" ht="13.95" customHeight="1" x14ac:dyDescent="0.3">
      <c r="B55" s="8" t="s">
        <v>81</v>
      </c>
      <c r="C55" s="17">
        <f>(1+C54)*NPV(C52,$E$47:$H$47)</f>
        <v>3848.2609968384381</v>
      </c>
      <c r="D55" s="17">
        <f>(1+D54)*NPV(D52,$E$47:$H$47)</f>
        <v>6177.3372484111114</v>
      </c>
      <c r="E55" s="17">
        <f>(1+E54)*NPV(E52,$E$47:$H$47)</f>
        <v>8591.999045334027</v>
      </c>
      <c r="J55" s="2" t="s">
        <v>82</v>
      </c>
    </row>
    <row r="56" spans="2:10" ht="13.95" customHeight="1" x14ac:dyDescent="0.3">
      <c r="B56" s="8" t="s">
        <v>83</v>
      </c>
      <c r="C56" s="17">
        <f>$H$47*(1+C54)</f>
        <v>1497.1688280986743</v>
      </c>
      <c r="D56" s="17">
        <f>$H$47*(1+D54)</f>
        <v>2317.0936070979851</v>
      </c>
      <c r="E56" s="17">
        <f>$H$47*(1+E54)</f>
        <v>3137.0183860972961</v>
      </c>
    </row>
    <row r="57" spans="2:10" ht="13.95" customHeight="1" x14ac:dyDescent="0.3">
      <c r="B57" s="8" t="s">
        <v>84</v>
      </c>
      <c r="C57" s="17">
        <f>C56*(1+gLT)/(C52-gLT)</f>
        <v>14646.162176478383</v>
      </c>
      <c r="D57" s="17">
        <f>D56*(1+gLT)/(D52-gLT)</f>
        <v>27067.683014095412</v>
      </c>
      <c r="E57" s="17">
        <f>E56*(1+gLT)/(E52-gLT)</f>
        <v>42640.313713309566</v>
      </c>
      <c r="J57" s="2" t="s">
        <v>85</v>
      </c>
    </row>
    <row r="58" spans="2:10" ht="13.95" customHeight="1" x14ac:dyDescent="0.3">
      <c r="B58" s="8" t="s">
        <v>86</v>
      </c>
      <c r="C58" s="23">
        <v>5</v>
      </c>
      <c r="D58" s="23">
        <v>5</v>
      </c>
      <c r="E58" s="23">
        <v>5</v>
      </c>
      <c r="J58" s="2" t="s">
        <v>87</v>
      </c>
    </row>
    <row r="59" spans="2:10" ht="13.95" customHeight="1" x14ac:dyDescent="0.3">
      <c r="B59" s="8" t="s">
        <v>88</v>
      </c>
      <c r="C59" s="17">
        <f>C57/(1+C52)^C58</f>
        <v>7155.5639227668644</v>
      </c>
      <c r="D59" s="17">
        <f>D57/(1+D52)^D58</f>
        <v>14267.9347572428</v>
      </c>
      <c r="E59" s="17">
        <f>E57/(1+E52)^E58</f>
        <v>23764.930407443611</v>
      </c>
    </row>
    <row r="60" spans="2:10" ht="13.95" customHeight="1" x14ac:dyDescent="0.3">
      <c r="B60" s="18" t="s">
        <v>89</v>
      </c>
      <c r="C60" s="19">
        <f>C55+C59</f>
        <v>11003.824919605302</v>
      </c>
      <c r="D60" s="19">
        <f>D55+D59</f>
        <v>20445.272005653911</v>
      </c>
      <c r="E60" s="19">
        <f>E55+E59</f>
        <v>32356.929452777636</v>
      </c>
      <c r="J60" s="2" t="s">
        <v>90</v>
      </c>
    </row>
    <row r="61" spans="2:10" ht="13.95" customHeight="1" x14ac:dyDescent="0.3">
      <c r="B61" s="18" t="s">
        <v>91</v>
      </c>
      <c r="C61" s="24">
        <f>C60/$C$7-1</f>
        <v>-0.58114294646234432</v>
      </c>
      <c r="D61" s="24">
        <f>D60/$C$7-1</f>
        <v>-0.22175730224438328</v>
      </c>
      <c r="E61" s="24">
        <f>E60/$C$7-1</f>
        <v>0.23165610423056071</v>
      </c>
    </row>
    <row r="62" spans="2:10" ht="13.95" customHeight="1" x14ac:dyDescent="0.3">
      <c r="B62" s="8" t="s">
        <v>92</v>
      </c>
      <c r="C62" s="14">
        <f>C59/C60</f>
        <v>0.65027969592808899</v>
      </c>
      <c r="D62" s="14">
        <f>D59/D60</f>
        <v>0.69785986477935646</v>
      </c>
      <c r="E62" s="14">
        <f>E59/E60</f>
        <v>0.73446185436497102</v>
      </c>
    </row>
    <row r="63" spans="2:10" ht="13.95" customHeight="1" x14ac:dyDescent="0.3">
      <c r="B63" s="8" t="s">
        <v>93</v>
      </c>
      <c r="D63" s="14">
        <f>E47/C7</f>
        <v>7.3886519197789588E-2</v>
      </c>
      <c r="J63" s="2" t="s">
        <v>94</v>
      </c>
    </row>
    <row r="65" spans="2:10" ht="13.95" customHeight="1" x14ac:dyDescent="0.3">
      <c r="B65" s="28" t="s">
        <v>95</v>
      </c>
      <c r="C65" s="28"/>
      <c r="D65" s="28"/>
      <c r="E65" s="28"/>
      <c r="F65" s="28"/>
      <c r="G65" s="28"/>
      <c r="H65" s="28"/>
      <c r="I65" s="28"/>
      <c r="J65" s="28"/>
    </row>
    <row r="66" spans="2:10" ht="13.95" customHeight="1" x14ac:dyDescent="0.3">
      <c r="B66" s="6" t="s">
        <v>96</v>
      </c>
      <c r="C66" s="25">
        <v>3.6999999999999998E-2</v>
      </c>
      <c r="D66" s="25">
        <v>4.2000000000000003E-2</v>
      </c>
      <c r="E66" s="25">
        <v>4.7E-2</v>
      </c>
      <c r="F66" s="25">
        <v>5.1999999999999998E-2</v>
      </c>
      <c r="G66" s="25">
        <v>5.7000000000000002E-2</v>
      </c>
      <c r="H66" s="25">
        <v>6.2E-2</v>
      </c>
    </row>
    <row r="67" spans="2:10" ht="13.95" customHeight="1" x14ac:dyDescent="0.3">
      <c r="B67" s="26">
        <v>5.5E-2</v>
      </c>
      <c r="C67" s="27">
        <f t="shared" ref="C67:H71" si="6">(NPV(($B67+$C$10*ERP),$E$47:$H$47)+$H$47*(1+C$66)/(($B67+$C$10*ERP)-C$66)/(1+($B67+$C$10*ERP))^$D$58)/$C$7-1</f>
        <v>-0.17268813040501918</v>
      </c>
      <c r="D67" s="27">
        <f t="shared" si="6"/>
        <v>-0.13398757911197956</v>
      </c>
      <c r="E67" s="27">
        <f t="shared" si="6"/>
        <v>-9.0262748250488634E-2</v>
      </c>
      <c r="F67" s="27">
        <f t="shared" si="6"/>
        <v>-4.0467306241064649E-2</v>
      </c>
      <c r="G67" s="27">
        <f t="shared" si="6"/>
        <v>1.675729015742089E-2</v>
      </c>
      <c r="H67" s="27">
        <f t="shared" si="6"/>
        <v>8.3207632713316215E-2</v>
      </c>
    </row>
    <row r="68" spans="2:10" ht="13.95" customHeight="1" x14ac:dyDescent="0.3">
      <c r="B68" s="26">
        <v>0.06</v>
      </c>
      <c r="C68" s="27">
        <f t="shared" si="6"/>
        <v>-0.2192558344203277</v>
      </c>
      <c r="D68" s="27">
        <f t="shared" si="6"/>
        <v>-0.18536764112713933</v>
      </c>
      <c r="E68" s="27">
        <f t="shared" si="6"/>
        <v>-0.14734810497028095</v>
      </c>
      <c r="F68" s="27">
        <f t="shared" si="6"/>
        <v>-0.10439270169182779</v>
      </c>
      <c r="G68" s="27">
        <f t="shared" si="6"/>
        <v>-5.5473512050606022E-2</v>
      </c>
      <c r="H68" s="27">
        <f t="shared" si="6"/>
        <v>7.441008552124817E-4</v>
      </c>
    </row>
    <row r="69" spans="2:10" ht="13.95" customHeight="1" x14ac:dyDescent="0.3">
      <c r="B69" s="26">
        <v>6.7599999999999993E-2</v>
      </c>
      <c r="C69" s="27">
        <f t="shared" si="6"/>
        <v>-0.28093761395863803</v>
      </c>
      <c r="D69" s="27">
        <f t="shared" si="6"/>
        <v>-0.25291097249383121</v>
      </c>
      <c r="E69" s="27">
        <f t="shared" si="6"/>
        <v>-0.22175730224438328</v>
      </c>
      <c r="F69" s="27">
        <f t="shared" si="6"/>
        <v>-0.18692234280524855</v>
      </c>
      <c r="G69" s="27">
        <f t="shared" si="6"/>
        <v>-0.14771261969901606</v>
      </c>
      <c r="H69" s="27">
        <f t="shared" si="6"/>
        <v>-0.10324880778673529</v>
      </c>
    </row>
    <row r="70" spans="2:10" ht="13.95" customHeight="1" x14ac:dyDescent="0.3">
      <c r="B70" s="26">
        <v>7.4999999999999997E-2</v>
      </c>
      <c r="C70" s="27">
        <f t="shared" si="6"/>
        <v>-0.3324269055778476</v>
      </c>
      <c r="D70" s="27">
        <f t="shared" si="6"/>
        <v>-0.30885028623413413</v>
      </c>
      <c r="E70" s="27">
        <f t="shared" si="6"/>
        <v>-0.28284376558930879</v>
      </c>
      <c r="F70" s="27">
        <f t="shared" si="6"/>
        <v>-0.25401128060258238</v>
      </c>
      <c r="G70" s="27">
        <f t="shared" si="6"/>
        <v>-0.22186574757490707</v>
      </c>
      <c r="H70" s="27">
        <f t="shared" si="6"/>
        <v>-0.18580132110479308</v>
      </c>
    </row>
    <row r="71" spans="2:10" ht="13.95" customHeight="1" x14ac:dyDescent="0.3">
      <c r="B71" s="26">
        <v>8.5000000000000006E-2</v>
      </c>
      <c r="C71" s="27">
        <f t="shared" si="6"/>
        <v>-0.39145866862168743</v>
      </c>
      <c r="D71" s="27">
        <f t="shared" si="6"/>
        <v>-0.3724932475593864</v>
      </c>
      <c r="E71" s="27">
        <f t="shared" si="6"/>
        <v>-0.35175580547417362</v>
      </c>
      <c r="F71" s="27">
        <f t="shared" si="6"/>
        <v>-0.32898582016897748</v>
      </c>
      <c r="G71" s="27">
        <f t="shared" si="6"/>
        <v>-0.30386906851391626</v>
      </c>
      <c r="H71" s="27">
        <f t="shared" si="6"/>
        <v>-0.27602303809331197</v>
      </c>
    </row>
  </sheetData>
  <mergeCells count="6">
    <mergeCell ref="B65:J65"/>
    <mergeCell ref="B5:J5"/>
    <mergeCell ref="B16:J16"/>
    <mergeCell ref="B26:J26"/>
    <mergeCell ref="B40:J40"/>
    <mergeCell ref="B49:J49"/>
  </mergeCells>
  <conditionalFormatting sqref="C67:H71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DCF Cyclicals</vt:lpstr>
      <vt:lpstr>ERP</vt:lpstr>
      <vt:lpstr>gLT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2026-10-08T13:24:00Z</dcterms:created>
  <dcterms:modified xsi:type="dcterms:W3CDTF">2026-10-08T13:24:22Z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