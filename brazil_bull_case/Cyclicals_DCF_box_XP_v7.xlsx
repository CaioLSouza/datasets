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io\Documents\Documentos\XP\Brazil Bull Case\"/>
    </mc:Choice>
  </mc:AlternateContent>
  <xr:revisionPtr revIDLastSave="0" documentId="13_ncr:1_{905D34A5-9A4E-4A69-91FE-60FEAFF9DB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CF Cyclicals" sheetId="1" r:id="rId1"/>
    <sheet name="Box Consensus" sheetId="2" r:id="rId2"/>
    <sheet name="Analyst Models" sheetId="3" r:id="rId3"/>
  </sheets>
  <definedNames>
    <definedName name="FleetRatio">'Box Consensus'!$D$4</definedName>
    <definedName name="NExp">'DCF Cyclicals'!$H$23</definedName>
    <definedName name="TVx">'DCF Cyclicals'!$H$24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0" i="2" l="1"/>
  <c r="C60" i="2"/>
  <c r="D59" i="2"/>
  <c r="C59" i="2"/>
  <c r="D58" i="2"/>
  <c r="C58" i="2"/>
  <c r="D57" i="2"/>
  <c r="C57" i="2"/>
  <c r="D56" i="2"/>
  <c r="C56" i="2"/>
  <c r="X55" i="2"/>
  <c r="D55" i="2"/>
  <c r="C55" i="2"/>
  <c r="D54" i="2"/>
  <c r="C54" i="2"/>
  <c r="V53" i="2"/>
  <c r="D53" i="2"/>
  <c r="C53" i="2"/>
  <c r="Z52" i="2"/>
  <c r="X52" i="2"/>
  <c r="W52" i="2"/>
  <c r="O52" i="2"/>
  <c r="N52" i="2"/>
  <c r="D52" i="2"/>
  <c r="C52" i="2"/>
  <c r="W51" i="2"/>
  <c r="K51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P44" i="2"/>
  <c r="J44" i="2"/>
  <c r="F44" i="2"/>
  <c r="D44" i="2"/>
  <c r="C44" i="2"/>
  <c r="O43" i="2"/>
  <c r="G43" i="2"/>
  <c r="D43" i="2"/>
  <c r="C43" i="2"/>
  <c r="D42" i="2"/>
  <c r="C42" i="2"/>
  <c r="P41" i="2"/>
  <c r="O41" i="2"/>
  <c r="J41" i="2"/>
  <c r="G41" i="2"/>
  <c r="D41" i="2"/>
  <c r="C41" i="2"/>
  <c r="W40" i="2"/>
  <c r="U40" i="2"/>
  <c r="R40" i="2"/>
  <c r="P40" i="2"/>
  <c r="O40" i="2"/>
  <c r="L40" i="2"/>
  <c r="K40" i="2"/>
  <c r="D40" i="2"/>
  <c r="C40" i="2"/>
  <c r="D39" i="2"/>
  <c r="C39" i="2"/>
  <c r="D38" i="2"/>
  <c r="C38" i="2"/>
  <c r="D37" i="2"/>
  <c r="C37" i="2"/>
  <c r="E32" i="2"/>
  <c r="W60" i="2" s="1"/>
  <c r="E31" i="2"/>
  <c r="V59" i="2" s="1"/>
  <c r="E30" i="2"/>
  <c r="U58" i="2" s="1"/>
  <c r="W29" i="2"/>
  <c r="V29" i="2"/>
  <c r="U29" i="2"/>
  <c r="E29" i="2"/>
  <c r="T57" i="2" s="1"/>
  <c r="E28" i="2"/>
  <c r="S56" i="2" s="1"/>
  <c r="E27" i="2"/>
  <c r="R55" i="2" s="1"/>
  <c r="E26" i="2"/>
  <c r="Q54" i="2" s="1"/>
  <c r="E25" i="2"/>
  <c r="P53" i="2" s="1"/>
  <c r="E24" i="2"/>
  <c r="Y52" i="2" s="1"/>
  <c r="E23" i="2"/>
  <c r="X51" i="2" s="1"/>
  <c r="E22" i="2"/>
  <c r="W50" i="2" s="1"/>
  <c r="E21" i="2"/>
  <c r="X49" i="2" s="1"/>
  <c r="E20" i="2"/>
  <c r="E19" i="2"/>
  <c r="E18" i="2"/>
  <c r="U46" i="2" s="1"/>
  <c r="E17" i="2"/>
  <c r="T45" i="2" s="1"/>
  <c r="E16" i="2"/>
  <c r="Q44" i="2" s="1"/>
  <c r="E15" i="2"/>
  <c r="P43" i="2" s="1"/>
  <c r="E14" i="2"/>
  <c r="O42" i="2" s="1"/>
  <c r="E13" i="2"/>
  <c r="Z41" i="2" s="1"/>
  <c r="E12" i="2"/>
  <c r="Y40" i="2" s="1"/>
  <c r="W11" i="2"/>
  <c r="W39" i="2" s="1"/>
  <c r="V11" i="2"/>
  <c r="V39" i="2" s="1"/>
  <c r="U11" i="2"/>
  <c r="E11" i="2"/>
  <c r="E10" i="2"/>
  <c r="E9" i="2"/>
  <c r="X37" i="2" s="1"/>
  <c r="E78" i="1"/>
  <c r="D78" i="1"/>
  <c r="C78" i="1"/>
  <c r="E72" i="1"/>
  <c r="D72" i="1"/>
  <c r="C72" i="1"/>
  <c r="N54" i="1"/>
  <c r="M54" i="1"/>
  <c r="L54" i="1"/>
  <c r="K54" i="1"/>
  <c r="J54" i="1"/>
  <c r="I54" i="1"/>
  <c r="H54" i="1"/>
  <c r="G54" i="1"/>
  <c r="F54" i="1"/>
  <c r="E54" i="1"/>
  <c r="N37" i="1"/>
  <c r="M37" i="1"/>
  <c r="L37" i="1"/>
  <c r="L38" i="1" s="1"/>
  <c r="K37" i="1"/>
  <c r="J37" i="1"/>
  <c r="I37" i="1"/>
  <c r="H37" i="1"/>
  <c r="G37" i="1"/>
  <c r="F37" i="1"/>
  <c r="E37" i="1"/>
  <c r="E31" i="1"/>
  <c r="D31" i="1"/>
  <c r="D32" i="1" s="1"/>
  <c r="C31" i="1"/>
  <c r="E30" i="1"/>
  <c r="E33" i="1" s="1"/>
  <c r="D30" i="1"/>
  <c r="D33" i="1" s="1"/>
  <c r="C30" i="1"/>
  <c r="I24" i="1"/>
  <c r="H24" i="1"/>
  <c r="I23" i="1"/>
  <c r="H23" i="1"/>
  <c r="I22" i="1"/>
  <c r="I25" i="1" s="1"/>
  <c r="H22" i="1"/>
  <c r="H25" i="1" s="1"/>
  <c r="M38" i="1" s="1"/>
  <c r="I21" i="1"/>
  <c r="C33" i="1" s="1"/>
  <c r="H21" i="1"/>
  <c r="N55" i="1" l="1"/>
  <c r="F42" i="2"/>
  <c r="I43" i="2"/>
  <c r="L50" i="2"/>
  <c r="M51" i="2"/>
  <c r="X53" i="2"/>
  <c r="Z55" i="2"/>
  <c r="C32" i="1"/>
  <c r="N40" i="2"/>
  <c r="L41" i="2"/>
  <c r="H42" i="2"/>
  <c r="L43" i="2"/>
  <c r="G44" i="2"/>
  <c r="M50" i="2"/>
  <c r="N51" i="2"/>
  <c r="U52" i="2"/>
  <c r="Y53" i="2"/>
  <c r="D63" i="2"/>
  <c r="M41" i="2"/>
  <c r="N42" i="2"/>
  <c r="N43" i="2"/>
  <c r="H44" i="2"/>
  <c r="N50" i="2"/>
  <c r="O51" i="2"/>
  <c r="Z51" i="2"/>
  <c r="U57" i="2"/>
  <c r="X40" i="2"/>
  <c r="V41" i="2"/>
  <c r="Z42" i="2"/>
  <c r="U43" i="2"/>
  <c r="T44" i="2"/>
  <c r="Y50" i="2"/>
  <c r="J53" i="2"/>
  <c r="Q42" i="2"/>
  <c r="N54" i="2"/>
  <c r="R43" i="2"/>
  <c r="Z54" i="2"/>
  <c r="T42" i="2"/>
  <c r="S44" i="2"/>
  <c r="V57" i="2"/>
  <c r="Z40" i="2"/>
  <c r="X41" i="2"/>
  <c r="X43" i="2"/>
  <c r="V44" i="2"/>
  <c r="Z50" i="2"/>
  <c r="I52" i="2"/>
  <c r="L53" i="2"/>
  <c r="L55" i="2"/>
  <c r="J50" i="2"/>
  <c r="P42" i="2"/>
  <c r="S50" i="2"/>
  <c r="Q43" i="2"/>
  <c r="Y51" i="2"/>
  <c r="Q41" i="2"/>
  <c r="R44" i="2"/>
  <c r="V50" i="2"/>
  <c r="S43" i="2"/>
  <c r="W57" i="2"/>
  <c r="F40" i="2"/>
  <c r="Y41" i="2"/>
  <c r="Z43" i="2"/>
  <c r="G50" i="2"/>
  <c r="K52" i="2"/>
  <c r="M53" i="2"/>
  <c r="N55" i="2"/>
  <c r="M55" i="1"/>
  <c r="U50" i="2"/>
  <c r="R42" i="2"/>
  <c r="S41" i="2"/>
  <c r="X50" i="2"/>
  <c r="I40" i="2"/>
  <c r="F43" i="2"/>
  <c r="I50" i="2"/>
  <c r="L52" i="2"/>
  <c r="O53" i="2"/>
  <c r="O55" i="2"/>
  <c r="L55" i="1"/>
  <c r="E32" i="1"/>
  <c r="N38" i="1"/>
  <c r="V47" i="2"/>
  <c r="J47" i="2"/>
  <c r="U47" i="2"/>
  <c r="I47" i="2"/>
  <c r="T47" i="2"/>
  <c r="H47" i="2"/>
  <c r="S47" i="2"/>
  <c r="G47" i="2"/>
  <c r="R47" i="2"/>
  <c r="F47" i="2"/>
  <c r="Q47" i="2"/>
  <c r="P47" i="2"/>
  <c r="O47" i="2"/>
  <c r="Z47" i="2"/>
  <c r="N47" i="2"/>
  <c r="Y47" i="2"/>
  <c r="M47" i="2"/>
  <c r="X47" i="2"/>
  <c r="L47" i="2"/>
  <c r="W47" i="2"/>
  <c r="K47" i="2"/>
  <c r="Z39" i="2"/>
  <c r="N39" i="2"/>
  <c r="Y39" i="2"/>
  <c r="M39" i="2"/>
  <c r="X39" i="2"/>
  <c r="L39" i="2"/>
  <c r="K39" i="2"/>
  <c r="J39" i="2"/>
  <c r="I39" i="2"/>
  <c r="T39" i="2"/>
  <c r="H39" i="2"/>
  <c r="S39" i="2"/>
  <c r="G39" i="2"/>
  <c r="R39" i="2"/>
  <c r="F39" i="2"/>
  <c r="Q39" i="2"/>
  <c r="P39" i="2"/>
  <c r="O39" i="2"/>
  <c r="W48" i="2"/>
  <c r="K48" i="2"/>
  <c r="V48" i="2"/>
  <c r="J48" i="2"/>
  <c r="U48" i="2"/>
  <c r="I48" i="2"/>
  <c r="T48" i="2"/>
  <c r="H48" i="2"/>
  <c r="S48" i="2"/>
  <c r="G48" i="2"/>
  <c r="R48" i="2"/>
  <c r="F48" i="2"/>
  <c r="Q48" i="2"/>
  <c r="P48" i="2"/>
  <c r="O48" i="2"/>
  <c r="Z48" i="2"/>
  <c r="N48" i="2"/>
  <c r="Y48" i="2"/>
  <c r="M48" i="2"/>
  <c r="X48" i="2"/>
  <c r="L48" i="2"/>
  <c r="Y38" i="2"/>
  <c r="Y61" i="2" s="1"/>
  <c r="M38" i="2"/>
  <c r="X38" i="2"/>
  <c r="L38" i="2"/>
  <c r="W38" i="2"/>
  <c r="K38" i="2"/>
  <c r="V38" i="2"/>
  <c r="J38" i="2"/>
  <c r="U38" i="2"/>
  <c r="I38" i="2"/>
  <c r="T38" i="2"/>
  <c r="H38" i="2"/>
  <c r="S38" i="2"/>
  <c r="G38" i="2"/>
  <c r="R38" i="2"/>
  <c r="R61" i="2" s="1"/>
  <c r="F38" i="2"/>
  <c r="Q38" i="2"/>
  <c r="P38" i="2"/>
  <c r="O38" i="2"/>
  <c r="Z38" i="2"/>
  <c r="N38" i="2"/>
  <c r="U39" i="2"/>
  <c r="M37" i="2"/>
  <c r="Y37" i="2"/>
  <c r="I45" i="2"/>
  <c r="U45" i="2"/>
  <c r="J46" i="2"/>
  <c r="V46" i="2"/>
  <c r="M49" i="2"/>
  <c r="Y49" i="2"/>
  <c r="P52" i="2"/>
  <c r="Q53" i="2"/>
  <c r="F54" i="2"/>
  <c r="R54" i="2"/>
  <c r="G55" i="2"/>
  <c r="S55" i="2"/>
  <c r="H56" i="2"/>
  <c r="T56" i="2"/>
  <c r="I57" i="2"/>
  <c r="J58" i="2"/>
  <c r="V58" i="2"/>
  <c r="K59" i="2"/>
  <c r="W59" i="2"/>
  <c r="L60" i="2"/>
  <c r="X60" i="2"/>
  <c r="N37" i="2"/>
  <c r="N61" i="2" s="1"/>
  <c r="Z37" i="2"/>
  <c r="Z61" i="2" s="1"/>
  <c r="Q40" i="2"/>
  <c r="F41" i="2"/>
  <c r="R41" i="2"/>
  <c r="G42" i="2"/>
  <c r="S42" i="2"/>
  <c r="H43" i="2"/>
  <c r="T43" i="2"/>
  <c r="I44" i="2"/>
  <c r="U44" i="2"/>
  <c r="J45" i="2"/>
  <c r="V45" i="2"/>
  <c r="K46" i="2"/>
  <c r="W46" i="2"/>
  <c r="N49" i="2"/>
  <c r="Z49" i="2"/>
  <c r="O50" i="2"/>
  <c r="P51" i="2"/>
  <c r="Q52" i="2"/>
  <c r="F53" i="2"/>
  <c r="R53" i="2"/>
  <c r="G54" i="2"/>
  <c r="S54" i="2"/>
  <c r="H55" i="2"/>
  <c r="T55" i="2"/>
  <c r="I56" i="2"/>
  <c r="U56" i="2"/>
  <c r="J57" i="2"/>
  <c r="K58" i="2"/>
  <c r="W58" i="2"/>
  <c r="L59" i="2"/>
  <c r="X59" i="2"/>
  <c r="M60" i="2"/>
  <c r="Y60" i="2"/>
  <c r="D62" i="2"/>
  <c r="D7" i="1" s="1"/>
  <c r="O37" i="2"/>
  <c r="O61" i="2" s="1"/>
  <c r="K45" i="2"/>
  <c r="W45" i="2"/>
  <c r="L46" i="2"/>
  <c r="X46" i="2"/>
  <c r="O49" i="2"/>
  <c r="P50" i="2"/>
  <c r="Q51" i="2"/>
  <c r="F52" i="2"/>
  <c r="R52" i="2"/>
  <c r="G53" i="2"/>
  <c r="S53" i="2"/>
  <c r="H54" i="2"/>
  <c r="T54" i="2"/>
  <c r="I55" i="2"/>
  <c r="U55" i="2"/>
  <c r="J56" i="2"/>
  <c r="V56" i="2"/>
  <c r="K57" i="2"/>
  <c r="L58" i="2"/>
  <c r="X58" i="2"/>
  <c r="M59" i="2"/>
  <c r="Y59" i="2"/>
  <c r="N60" i="2"/>
  <c r="Z60" i="2"/>
  <c r="P37" i="2"/>
  <c r="G40" i="2"/>
  <c r="S40" i="2"/>
  <c r="H41" i="2"/>
  <c r="T41" i="2"/>
  <c r="I42" i="2"/>
  <c r="U42" i="2"/>
  <c r="J43" i="2"/>
  <c r="V43" i="2"/>
  <c r="K44" i="2"/>
  <c r="W44" i="2"/>
  <c r="L45" i="2"/>
  <c r="X45" i="2"/>
  <c r="M46" i="2"/>
  <c r="Y46" i="2"/>
  <c r="P49" i="2"/>
  <c r="Q50" i="2"/>
  <c r="F51" i="2"/>
  <c r="R51" i="2"/>
  <c r="G52" i="2"/>
  <c r="S52" i="2"/>
  <c r="H53" i="2"/>
  <c r="T53" i="2"/>
  <c r="I54" i="2"/>
  <c r="U54" i="2"/>
  <c r="J55" i="2"/>
  <c r="V55" i="2"/>
  <c r="K56" i="2"/>
  <c r="W56" i="2"/>
  <c r="L57" i="2"/>
  <c r="X57" i="2"/>
  <c r="M58" i="2"/>
  <c r="Y58" i="2"/>
  <c r="N59" i="2"/>
  <c r="Z59" i="2"/>
  <c r="O60" i="2"/>
  <c r="D61" i="2"/>
  <c r="C7" i="1" s="1"/>
  <c r="S62" i="2"/>
  <c r="Q37" i="2"/>
  <c r="Q61" i="2" s="1"/>
  <c r="H40" i="2"/>
  <c r="T40" i="2"/>
  <c r="I41" i="2"/>
  <c r="U41" i="2"/>
  <c r="J42" i="2"/>
  <c r="V42" i="2"/>
  <c r="K43" i="2"/>
  <c r="W43" i="2"/>
  <c r="L44" i="2"/>
  <c r="X44" i="2"/>
  <c r="M45" i="2"/>
  <c r="Y45" i="2"/>
  <c r="N46" i="2"/>
  <c r="Z46" i="2"/>
  <c r="Q49" i="2"/>
  <c r="F50" i="2"/>
  <c r="R50" i="2"/>
  <c r="G51" i="2"/>
  <c r="S51" i="2"/>
  <c r="H52" i="2"/>
  <c r="T52" i="2"/>
  <c r="I53" i="2"/>
  <c r="U53" i="2"/>
  <c r="J54" i="2"/>
  <c r="V54" i="2"/>
  <c r="K55" i="2"/>
  <c r="W55" i="2"/>
  <c r="L56" i="2"/>
  <c r="X56" i="2"/>
  <c r="M57" i="2"/>
  <c r="Y57" i="2"/>
  <c r="N58" i="2"/>
  <c r="Z58" i="2"/>
  <c r="O59" i="2"/>
  <c r="P60" i="2"/>
  <c r="F61" i="2"/>
  <c r="C39" i="1" s="1"/>
  <c r="F37" i="2"/>
  <c r="R37" i="2"/>
  <c r="K42" i="2"/>
  <c r="W42" i="2"/>
  <c r="M44" i="2"/>
  <c r="Y44" i="2"/>
  <c r="N45" i="2"/>
  <c r="Z45" i="2"/>
  <c r="O46" i="2"/>
  <c r="F49" i="2"/>
  <c r="R49" i="2"/>
  <c r="H51" i="2"/>
  <c r="T51" i="2"/>
  <c r="K54" i="2"/>
  <c r="W54" i="2"/>
  <c r="M56" i="2"/>
  <c r="Y56" i="2"/>
  <c r="N57" i="2"/>
  <c r="Z57" i="2"/>
  <c r="O58" i="2"/>
  <c r="P59" i="2"/>
  <c r="Q60" i="2"/>
  <c r="G61" i="2"/>
  <c r="D39" i="1" s="1"/>
  <c r="G37" i="2"/>
  <c r="S37" i="2"/>
  <c r="J40" i="2"/>
  <c r="V40" i="2"/>
  <c r="K41" i="2"/>
  <c r="W41" i="2"/>
  <c r="L42" i="2"/>
  <c r="X42" i="2"/>
  <c r="M43" i="2"/>
  <c r="Y43" i="2"/>
  <c r="N44" i="2"/>
  <c r="Z44" i="2"/>
  <c r="O45" i="2"/>
  <c r="P46" i="2"/>
  <c r="G49" i="2"/>
  <c r="S49" i="2"/>
  <c r="H50" i="2"/>
  <c r="T50" i="2"/>
  <c r="I51" i="2"/>
  <c r="U51" i="2"/>
  <c r="J52" i="2"/>
  <c r="V52" i="2"/>
  <c r="K53" i="2"/>
  <c r="W53" i="2"/>
  <c r="L54" i="2"/>
  <c r="X54" i="2"/>
  <c r="M55" i="2"/>
  <c r="Y55" i="2"/>
  <c r="N56" i="2"/>
  <c r="Z56" i="2"/>
  <c r="O57" i="2"/>
  <c r="P58" i="2"/>
  <c r="Q59" i="2"/>
  <c r="F60" i="2"/>
  <c r="R60" i="2"/>
  <c r="H37" i="2"/>
  <c r="T37" i="2"/>
  <c r="M42" i="2"/>
  <c r="Y42" i="2"/>
  <c r="O44" i="2"/>
  <c r="P45" i="2"/>
  <c r="Q46" i="2"/>
  <c r="H49" i="2"/>
  <c r="T49" i="2"/>
  <c r="J51" i="2"/>
  <c r="V51" i="2"/>
  <c r="M54" i="2"/>
  <c r="Y54" i="2"/>
  <c r="O56" i="2"/>
  <c r="P57" i="2"/>
  <c r="Q58" i="2"/>
  <c r="F59" i="2"/>
  <c r="R59" i="2"/>
  <c r="G60" i="2"/>
  <c r="S60" i="2"/>
  <c r="I37" i="2"/>
  <c r="U37" i="2"/>
  <c r="Q45" i="2"/>
  <c r="F46" i="2"/>
  <c r="R46" i="2"/>
  <c r="I49" i="2"/>
  <c r="U49" i="2"/>
  <c r="P56" i="2"/>
  <c r="Q57" i="2"/>
  <c r="F58" i="2"/>
  <c r="R58" i="2"/>
  <c r="G59" i="2"/>
  <c r="S59" i="2"/>
  <c r="H60" i="2"/>
  <c r="T60" i="2"/>
  <c r="J61" i="2"/>
  <c r="V61" i="2"/>
  <c r="J37" i="2"/>
  <c r="V37" i="2"/>
  <c r="M40" i="2"/>
  <c r="N41" i="2"/>
  <c r="F45" i="2"/>
  <c r="R45" i="2"/>
  <c r="G46" i="2"/>
  <c r="S46" i="2"/>
  <c r="J49" i="2"/>
  <c r="V49" i="2"/>
  <c r="K50" i="2"/>
  <c r="L51" i="2"/>
  <c r="M52" i="2"/>
  <c r="N53" i="2"/>
  <c r="Z53" i="2"/>
  <c r="O54" i="2"/>
  <c r="P55" i="2"/>
  <c r="Q56" i="2"/>
  <c r="F57" i="2"/>
  <c r="R57" i="2"/>
  <c r="G58" i="2"/>
  <c r="S58" i="2"/>
  <c r="H59" i="2"/>
  <c r="T59" i="2"/>
  <c r="I60" i="2"/>
  <c r="U60" i="2"/>
  <c r="K37" i="2"/>
  <c r="K61" i="2" s="1"/>
  <c r="W37" i="2"/>
  <c r="G45" i="2"/>
  <c r="S45" i="2"/>
  <c r="H46" i="2"/>
  <c r="T46" i="2"/>
  <c r="K49" i="2"/>
  <c r="W49" i="2"/>
  <c r="P54" i="2"/>
  <c r="Q55" i="2"/>
  <c r="F56" i="2"/>
  <c r="R56" i="2"/>
  <c r="G57" i="2"/>
  <c r="S57" i="2"/>
  <c r="H58" i="2"/>
  <c r="T58" i="2"/>
  <c r="I59" i="2"/>
  <c r="U59" i="2"/>
  <c r="J60" i="2"/>
  <c r="V60" i="2"/>
  <c r="X61" i="2"/>
  <c r="L37" i="2"/>
  <c r="H45" i="2"/>
  <c r="I46" i="2"/>
  <c r="L49" i="2"/>
  <c r="F55" i="2"/>
  <c r="G56" i="2"/>
  <c r="H57" i="2"/>
  <c r="I58" i="2"/>
  <c r="J59" i="2"/>
  <c r="K60" i="2"/>
  <c r="M61" i="2"/>
  <c r="P62" i="2" l="1"/>
  <c r="D42" i="1"/>
  <c r="U62" i="2"/>
  <c r="Z62" i="2"/>
  <c r="N62" i="2"/>
  <c r="R62" i="2"/>
  <c r="C61" i="1" s="1"/>
  <c r="G62" i="2"/>
  <c r="D56" i="1" s="1"/>
  <c r="W63" i="2"/>
  <c r="V62" i="2"/>
  <c r="D61" i="1" s="1"/>
  <c r="D62" i="1" s="1"/>
  <c r="X63" i="2"/>
  <c r="X62" i="2"/>
  <c r="C66" i="1" s="1"/>
  <c r="L62" i="2"/>
  <c r="W62" i="2"/>
  <c r="Y62" i="2"/>
  <c r="J62" i="2"/>
  <c r="I62" i="2"/>
  <c r="Q62" i="2"/>
  <c r="F62" i="2"/>
  <c r="C56" i="1" s="1"/>
  <c r="M62" i="2"/>
  <c r="T62" i="2"/>
  <c r="O62" i="2"/>
  <c r="K62" i="2"/>
  <c r="E59" i="1" s="1"/>
  <c r="H62" i="2"/>
  <c r="E56" i="1" s="1"/>
  <c r="E55" i="1" s="1"/>
  <c r="E66" i="1"/>
  <c r="D66" i="1"/>
  <c r="C62" i="1"/>
  <c r="C57" i="1"/>
  <c r="C58" i="1" s="1"/>
  <c r="C41" i="1"/>
  <c r="Q63" i="2"/>
  <c r="Q64" i="2" s="1"/>
  <c r="M63" i="2"/>
  <c r="T63" i="2"/>
  <c r="P63" i="2"/>
  <c r="P64" i="2" s="1"/>
  <c r="L63" i="2"/>
  <c r="U63" i="2"/>
  <c r="I63" i="2"/>
  <c r="E49" i="1"/>
  <c r="U61" i="2"/>
  <c r="C44" i="1" s="1"/>
  <c r="C45" i="1" s="1"/>
  <c r="G63" i="2"/>
  <c r="V63" i="2"/>
  <c r="P61" i="2"/>
  <c r="K63" i="2"/>
  <c r="H63" i="2"/>
  <c r="W61" i="2"/>
  <c r="S63" i="2"/>
  <c r="L61" i="2"/>
  <c r="T61" i="2"/>
  <c r="I61" i="2"/>
  <c r="H61" i="2"/>
  <c r="E39" i="1" s="1"/>
  <c r="R63" i="2"/>
  <c r="J63" i="2"/>
  <c r="F63" i="2"/>
  <c r="O63" i="2"/>
  <c r="O64" i="2" s="1"/>
  <c r="S61" i="2"/>
  <c r="D44" i="1" s="1"/>
  <c r="D45" i="1" s="1"/>
  <c r="Z63" i="2"/>
  <c r="D43" i="1"/>
  <c r="D38" i="1"/>
  <c r="D46" i="1"/>
  <c r="N63" i="2"/>
  <c r="C40" i="1"/>
  <c r="C49" i="1"/>
  <c r="Y63" i="2"/>
  <c r="E61" i="1" l="1"/>
  <c r="E57" i="1"/>
  <c r="E58" i="1" s="1"/>
  <c r="E62" i="1"/>
  <c r="D57" i="1"/>
  <c r="D58" i="1" s="1"/>
  <c r="C59" i="1"/>
  <c r="C60" i="1" s="1"/>
  <c r="D55" i="1"/>
  <c r="E63" i="1"/>
  <c r="D59" i="1"/>
  <c r="D60" i="1" s="1"/>
  <c r="C42" i="1"/>
  <c r="C43" i="1" s="1"/>
  <c r="E60" i="1"/>
  <c r="D63" i="1"/>
  <c r="D40" i="1"/>
  <c r="D41" i="1" s="1"/>
  <c r="D47" i="1" s="1"/>
  <c r="D48" i="1" s="1"/>
  <c r="D49" i="1"/>
  <c r="E46" i="1"/>
  <c r="E41" i="1"/>
  <c r="E38" i="1"/>
  <c r="E44" i="1"/>
  <c r="L59" i="1"/>
  <c r="L61" i="1" s="1"/>
  <c r="K59" i="1"/>
  <c r="K61" i="1" s="1"/>
  <c r="J59" i="1"/>
  <c r="J61" i="1" s="1"/>
  <c r="H59" i="1"/>
  <c r="H61" i="1" s="1"/>
  <c r="I59" i="1"/>
  <c r="I61" i="1" s="1"/>
  <c r="N59" i="1"/>
  <c r="N61" i="1" s="1"/>
  <c r="G59" i="1"/>
  <c r="G61" i="1" s="1"/>
  <c r="F59" i="1"/>
  <c r="F61" i="1" s="1"/>
  <c r="M59" i="1"/>
  <c r="M61" i="1" s="1"/>
  <c r="L57" i="1"/>
  <c r="K57" i="1"/>
  <c r="J57" i="1"/>
  <c r="I57" i="1"/>
  <c r="H57" i="1"/>
  <c r="F57" i="1"/>
  <c r="N57" i="1"/>
  <c r="G57" i="1"/>
  <c r="E40" i="1"/>
  <c r="H55" i="1"/>
  <c r="F55" i="1"/>
  <c r="G55" i="1"/>
  <c r="K55" i="1"/>
  <c r="I55" i="1"/>
  <c r="J55" i="1"/>
  <c r="E42" i="1"/>
  <c r="E64" i="1" l="1"/>
  <c r="E65" i="1" s="1"/>
  <c r="D64" i="1"/>
  <c r="D65" i="1" s="1"/>
  <c r="M57" i="1"/>
  <c r="I44" i="1"/>
  <c r="E45" i="1"/>
  <c r="K38" i="1"/>
  <c r="J38" i="1"/>
  <c r="I38" i="1"/>
  <c r="F38" i="1"/>
  <c r="G38" i="1"/>
  <c r="H38" i="1"/>
  <c r="F40" i="1"/>
  <c r="N40" i="1"/>
  <c r="K40" i="1"/>
  <c r="H40" i="1"/>
  <c r="G40" i="1"/>
  <c r="M40" i="1"/>
  <c r="L40" i="1"/>
  <c r="J40" i="1"/>
  <c r="I40" i="1"/>
  <c r="F42" i="1"/>
  <c r="F44" i="1" s="1"/>
  <c r="N42" i="1"/>
  <c r="N44" i="1" s="1"/>
  <c r="M42" i="1"/>
  <c r="M44" i="1" s="1"/>
  <c r="K42" i="1"/>
  <c r="K44" i="1" s="1"/>
  <c r="I42" i="1"/>
  <c r="H42" i="1"/>
  <c r="H44" i="1" s="1"/>
  <c r="L42" i="1"/>
  <c r="L44" i="1" s="1"/>
  <c r="J42" i="1"/>
  <c r="J44" i="1" s="1"/>
  <c r="G42" i="1"/>
  <c r="G44" i="1" s="1"/>
  <c r="E43" i="1"/>
  <c r="F56" i="1"/>
  <c r="E47" i="1" l="1"/>
  <c r="E48" i="1"/>
  <c r="F39" i="1"/>
  <c r="F62" i="1"/>
  <c r="F60" i="1"/>
  <c r="F63" i="1"/>
  <c r="F58" i="1"/>
  <c r="G56" i="1"/>
  <c r="F45" i="1" l="1"/>
  <c r="F43" i="1"/>
  <c r="F41" i="1"/>
  <c r="F46" i="1"/>
  <c r="G39" i="1"/>
  <c r="H56" i="1"/>
  <c r="G62" i="1"/>
  <c r="G63" i="1"/>
  <c r="G60" i="1"/>
  <c r="G58" i="1"/>
  <c r="G64" i="1" s="1"/>
  <c r="G65" i="1" s="1"/>
  <c r="G67" i="1" s="1"/>
  <c r="F64" i="1"/>
  <c r="H62" i="1" l="1"/>
  <c r="H58" i="1"/>
  <c r="I56" i="1"/>
  <c r="H60" i="1"/>
  <c r="H63" i="1"/>
  <c r="F47" i="1"/>
  <c r="F65" i="1"/>
  <c r="F67" i="1" s="1"/>
  <c r="G46" i="1"/>
  <c r="G45" i="1"/>
  <c r="G41" i="1"/>
  <c r="H39" i="1"/>
  <c r="G43" i="1"/>
  <c r="F48" i="1" l="1"/>
  <c r="F50" i="1" s="1"/>
  <c r="J56" i="1"/>
  <c r="I58" i="1"/>
  <c r="I63" i="1"/>
  <c r="I62" i="1"/>
  <c r="I60" i="1"/>
  <c r="H41" i="1"/>
  <c r="H46" i="1"/>
  <c r="I39" i="1"/>
  <c r="H45" i="1"/>
  <c r="H43" i="1"/>
  <c r="H64" i="1"/>
  <c r="G47" i="1"/>
  <c r="G48" i="1" s="1"/>
  <c r="G50" i="1" s="1"/>
  <c r="I64" i="1" l="1"/>
  <c r="I65" i="1" s="1"/>
  <c r="I67" i="1" s="1"/>
  <c r="J62" i="1"/>
  <c r="J60" i="1"/>
  <c r="J58" i="1"/>
  <c r="J63" i="1"/>
  <c r="K56" i="1"/>
  <c r="I41" i="1"/>
  <c r="I46" i="1"/>
  <c r="J39" i="1"/>
  <c r="I45" i="1"/>
  <c r="I43" i="1"/>
  <c r="H47" i="1"/>
  <c r="H48" i="1" s="1"/>
  <c r="H50" i="1" s="1"/>
  <c r="H65" i="1"/>
  <c r="H67" i="1" s="1"/>
  <c r="J41" i="1" l="1"/>
  <c r="K39" i="1"/>
  <c r="J45" i="1"/>
  <c r="J43" i="1"/>
  <c r="J46" i="1"/>
  <c r="J64" i="1"/>
  <c r="I47" i="1"/>
  <c r="I48" i="1" s="1"/>
  <c r="I50" i="1" s="1"/>
  <c r="L56" i="1"/>
  <c r="K62" i="1"/>
  <c r="K60" i="1"/>
  <c r="K58" i="1"/>
  <c r="K63" i="1"/>
  <c r="K64" i="1" l="1"/>
  <c r="K65" i="1" s="1"/>
  <c r="K67" i="1" s="1"/>
  <c r="L62" i="1"/>
  <c r="L60" i="1"/>
  <c r="L58" i="1"/>
  <c r="L63" i="1"/>
  <c r="M56" i="1"/>
  <c r="J65" i="1"/>
  <c r="J67" i="1" s="1"/>
  <c r="L39" i="1"/>
  <c r="K45" i="1"/>
  <c r="K43" i="1"/>
  <c r="K46" i="1"/>
  <c r="K41" i="1"/>
  <c r="J47" i="1"/>
  <c r="J48" i="1" s="1"/>
  <c r="J50" i="1" s="1"/>
  <c r="M63" i="1" l="1"/>
  <c r="M62" i="1"/>
  <c r="M60" i="1"/>
  <c r="M58" i="1"/>
  <c r="N56" i="1"/>
  <c r="K47" i="1"/>
  <c r="K48" i="1" s="1"/>
  <c r="K50" i="1" s="1"/>
  <c r="L64" i="1"/>
  <c r="M39" i="1"/>
  <c r="L43" i="1"/>
  <c r="L46" i="1"/>
  <c r="L45" i="1"/>
  <c r="L41" i="1"/>
  <c r="L47" i="1" l="1"/>
  <c r="L48" i="1" s="1"/>
  <c r="L50" i="1" s="1"/>
  <c r="D74" i="1"/>
  <c r="E74" i="1"/>
  <c r="C74" i="1"/>
  <c r="N39" i="1"/>
  <c r="M45" i="1"/>
  <c r="M43" i="1"/>
  <c r="M46" i="1"/>
  <c r="M41" i="1"/>
  <c r="M47" i="1" s="1"/>
  <c r="M48" i="1" s="1"/>
  <c r="M50" i="1" s="1"/>
  <c r="L65" i="1"/>
  <c r="L67" i="1" s="1"/>
  <c r="E80" i="1"/>
  <c r="D80" i="1"/>
  <c r="C80" i="1"/>
  <c r="N60" i="1"/>
  <c r="N58" i="1"/>
  <c r="N62" i="1"/>
  <c r="N63" i="1"/>
  <c r="M64" i="1"/>
  <c r="M65" i="1" s="1"/>
  <c r="M67" i="1" s="1"/>
  <c r="N64" i="1" l="1"/>
  <c r="N45" i="1"/>
  <c r="N43" i="1"/>
  <c r="N41" i="1"/>
  <c r="N46" i="1"/>
  <c r="N47" i="1" l="1"/>
  <c r="N65" i="1"/>
  <c r="N67" i="1" s="1"/>
  <c r="C79" i="1"/>
  <c r="C81" i="1" s="1"/>
  <c r="C82" i="1" s="1"/>
  <c r="E79" i="1"/>
  <c r="E81" i="1" s="1"/>
  <c r="E82" i="1" s="1"/>
  <c r="D79" i="1"/>
  <c r="D81" i="1" s="1"/>
  <c r="D82" i="1" s="1"/>
  <c r="N48" i="1" l="1"/>
  <c r="N50" i="1" s="1"/>
  <c r="C73" i="1"/>
  <c r="C75" i="1" s="1"/>
  <c r="E73" i="1"/>
  <c r="E75" i="1" s="1"/>
  <c r="D73" i="1"/>
  <c r="D75" i="1" s="1"/>
  <c r="D84" i="1" l="1"/>
  <c r="D85" i="1" s="1"/>
  <c r="D76" i="1"/>
  <c r="C76" i="1"/>
  <c r="C84" i="1"/>
  <c r="C85" i="1" s="1"/>
  <c r="E84" i="1"/>
  <c r="E85" i="1" s="1"/>
  <c r="E76" i="1"/>
</calcChain>
</file>

<file path=xl/sharedStrings.xml><?xml version="1.0" encoding="utf-8"?>
<sst xmlns="http://schemas.openxmlformats.org/spreadsheetml/2006/main" count="390" uniqueCount="264">
  <si>
    <t>Cyclicals - consensus 2026-28 of the members, summed into the two sub-boxes</t>
  </si>
  <si>
    <t>Bloomberg BEST consensus (Oct-7-2026, company totals in R$ mn; Members sheet of the main model; ROE from dcf_members.parquet). Index points = R$ mn x points / market cap. Only 2026-28 are built from the members.</t>
  </si>
  <si>
    <t>Legend:</t>
  </si>
  <si>
    <t>input</t>
  </si>
  <si>
    <t>assumption</t>
  </si>
  <si>
    <t>formula</t>
  </si>
  <si>
    <t>Fleet sales / gross capex (Localiza model, 2028)</t>
  </si>
  <si>
    <t>Capex net of the used cars sold, as the analysts' bridge (Caio, Oct-8-2026): Localiza model 2028, book value of cars sold / gross capex = 73%; applied to Localiza and Vamos (rental fleets). 0 = gross capex.</t>
  </si>
  <si>
    <t>1. Consensus by member (R$ mn; ROE in %)</t>
  </si>
  <si>
    <t>Member</t>
  </si>
  <si>
    <t>Sub-box</t>
  </si>
  <si>
    <t>Index points</t>
  </si>
  <si>
    <t>Points / market cap</t>
  </si>
  <si>
    <t>Sales 2026</t>
  </si>
  <si>
    <t>Sales 2027</t>
  </si>
  <si>
    <t>Sales 2028</t>
  </si>
  <si>
    <t>EBITDA 2026</t>
  </si>
  <si>
    <t>EBITDA 2027</t>
  </si>
  <si>
    <t>EBITDA 2028</t>
  </si>
  <si>
    <t>EBIT 2026</t>
  </si>
  <si>
    <t>EBIT 2027</t>
  </si>
  <si>
    <t>EBIT 2028</t>
  </si>
  <si>
    <t>Net income 2026</t>
  </si>
  <si>
    <t>Net income 2027</t>
  </si>
  <si>
    <t>Net income 2028</t>
  </si>
  <si>
    <t>Capex 2026</t>
  </si>
  <si>
    <t>Capex 2027</t>
  </si>
  <si>
    <t>Capex 2028</t>
  </si>
  <si>
    <t>Fleet sales 2026</t>
  </si>
  <si>
    <t>Fleet sales 2027</t>
  </si>
  <si>
    <t>Fleet sales 2028</t>
  </si>
  <si>
    <t>ROE 2026</t>
  </si>
  <si>
    <t>ROE 2027</t>
  </si>
  <si>
    <t>ROE 2028</t>
  </si>
  <si>
    <t>Weg (WEGE3)</t>
  </si>
  <si>
    <t>WEG &amp; Embraer</t>
  </si>
  <si>
    <t>Embraer (EMBJ3)</t>
  </si>
  <si>
    <t>Localiza (RENT3)</t>
  </si>
  <si>
    <t>Cyclicals ex-WEG &amp; Embraer</t>
  </si>
  <si>
    <t>Rumo (RAIL3)</t>
  </si>
  <si>
    <t>Motiva (MOTV3)</t>
  </si>
  <si>
    <t>TOTVS (TOTS3)</t>
  </si>
  <si>
    <t>Allos (ALOS3)</t>
  </si>
  <si>
    <t>Lojas Renner (LREN3)</t>
  </si>
  <si>
    <t>Multiplan (MULT3)</t>
  </si>
  <si>
    <t>Smart Fit (SMFT3)</t>
  </si>
  <si>
    <t>Cyrela (CYRE3)</t>
  </si>
  <si>
    <t>Iguatemi (IGTI11)</t>
  </si>
  <si>
    <t>Cogna (COGN3)</t>
  </si>
  <si>
    <t>Cury (CURY3)</t>
  </si>
  <si>
    <t>Direcional (DIRR3)</t>
  </si>
  <si>
    <t>Magazine Luiza (MGLU3)</t>
  </si>
  <si>
    <t>Tenda (TEND3)</t>
  </si>
  <si>
    <t>Marcopolo (POMO4)</t>
  </si>
  <si>
    <t>Vivara (VIVA3)</t>
  </si>
  <si>
    <t>YDUQS (YDUQ3)</t>
  </si>
  <si>
    <t>Vamos (VAMO3)</t>
  </si>
  <si>
    <t>Azzas 2154 (AZZA3)</t>
  </si>
  <si>
    <t>C&amp;A Modas (CEAB3)</t>
  </si>
  <si>
    <t>MRV (MRVE3)</t>
  </si>
  <si>
    <t>2. In index points (= R$ mn x points / market cap); book value = net income / ROE</t>
  </si>
  <si>
    <t>Book value 2026</t>
  </si>
  <si>
    <t>Book value 2027</t>
  </si>
  <si>
    <t>Book value 2028</t>
  </si>
  <si>
    <t>Cyclicals</t>
  </si>
  <si>
    <t>Check: net income vs. Box Shares!M9:O9 (Cyclicals) of the main model</t>
  </si>
  <si>
    <t>Members without a BEST_ROE get book value 0: the sub-box ROE uses the members with an ROE (box ROE = sum of net income with ROE / sum of book value; see DCF Cyclicals). Leases (IFRS 16) and concession fees are not in the consensus: pending the Bloomberg pull.</t>
  </si>
  <si>
    <t>Cyclicals - how the XP Cyclicals analysts value their companies (memo)</t>
  </si>
  <si>
    <t>Files in inputs/analyst_models/Cyclicals (DCF &amp; Sensitivity / Valuation sheets), read on Oct-8-2026.</t>
  </si>
  <si>
    <t>Model (weight in the box)</t>
  </si>
  <si>
    <t>Currency / method</t>
  </si>
  <si>
    <t>Explicit to</t>
  </si>
  <si>
    <t>Perpetuity g</t>
  </si>
  <si>
    <t>Ke (beta)</t>
  </si>
  <si>
    <t>WACC</t>
  </si>
  <si>
    <t>Cash flow</t>
  </si>
  <si>
    <t>Note</t>
  </si>
  <si>
    <t>WEG (20.5%)</t>
  </si>
  <si>
    <t>BRL; FCFF - net debt</t>
  </si>
  <si>
    <t>2035</t>
  </si>
  <si>
    <t>7.6% (about 3.4% real)</t>
  </si>
  <si>
    <t>11.4% (0.8)</t>
  </si>
  <si>
    <t>11.2%</t>
  </si>
  <si>
    <t>NOPAT + D&amp;A - capex +/- NWC</t>
  </si>
  <si>
    <t>Permanent real growth</t>
  </si>
  <si>
    <t>Embraer (18.3%)</t>
  </si>
  <si>
    <t>USD; FCFF - net debt</t>
  </si>
  <si>
    <t>~2035</t>
  </si>
  <si>
    <t>2.4% (real 0%)</t>
  </si>
  <si>
    <t>10.6% (1.0)</t>
  </si>
  <si>
    <t>9.8%</t>
  </si>
  <si>
    <t>Exporter</t>
  </si>
  <si>
    <t>Localiza (13.4%)</t>
  </si>
  <si>
    <t>BRL; FCFF / FCFE</t>
  </si>
  <si>
    <t>6.1% (about 2% real, GDP-linked)</t>
  </si>
  <si>
    <t>15.2% (0.95)</t>
  </si>
  <si>
    <t>12.3%</t>
  </si>
  <si>
    <t>NOPAT + D&amp;A - capex + BV of cars sold +/- NWC</t>
  </si>
  <si>
    <t>Fleet net of used-car sales (resale at 79% of purchase price)</t>
  </si>
  <si>
    <t>Rumo (7.2%)</t>
  </si>
  <si>
    <t>BRL; FCFE to concession end</t>
  </si>
  <si>
    <t>~2070</t>
  </si>
  <si>
    <t>4.0% (real 0%)</t>
  </si>
  <si>
    <t>15.3% (1.0)</t>
  </si>
  <si>
    <t>11.7%</t>
  </si>
  <si>
    <t>FCFF - concession fees + net funding</t>
  </si>
  <si>
    <t>Lucas do Rio Verde project apart</t>
  </si>
  <si>
    <t>Motiva (5.4%)</t>
  </si>
  <si>
    <t>BRL; sum of concessions</t>
  </si>
  <si>
    <t>Each contract</t>
  </si>
  <si>
    <t>0% (finite lives)</t>
  </si>
  <si>
    <t>14.7% (0.92)</t>
  </si>
  <si>
    <t>10.8%</t>
  </si>
  <si>
    <t>FCFF by concession</t>
  </si>
  <si>
    <t>No perpetuity</t>
  </si>
  <si>
    <t>Totvs (5.2%)</t>
  </si>
  <si>
    <t>BRL; FCFE</t>
  </si>
  <si>
    <t>Exit multiple on 2035 FCFE</t>
  </si>
  <si>
    <t>14.4% (0.8)</t>
  </si>
  <si>
    <t>-</t>
  </si>
  <si>
    <t>Operating cash flow - capex - lease principal</t>
  </si>
  <si>
    <t>Ke without the 0.85</t>
  </si>
  <si>
    <t>Lojas Renner (3.6%)</t>
  </si>
  <si>
    <t>BRL; FCFF</t>
  </si>
  <si>
    <t>14.1% (0.95)</t>
  </si>
  <si>
    <t>13.4%</t>
  </si>
  <si>
    <t>EBIT - taxes + D&amp;A - capex +/- NWC</t>
  </si>
  <si>
    <t>USD + country-risk Ke</t>
  </si>
  <si>
    <t>Cyrela (2.3%)</t>
  </si>
  <si>
    <t>4.5% (real 0%)</t>
  </si>
  <si>
    <t>20.0% (1.46)</t>
  </si>
  <si>
    <t>17.5%</t>
  </si>
  <si>
    <t>ERP 7.7%</t>
  </si>
  <si>
    <t>Cyclicals - DCF by sub-box with the analysts' cash-flow method (end-2027)</t>
  </si>
  <si>
    <t>Cash to shareholders = net income + D&amp;A - capex +/- NWC (the analysts' bridge, net debt constant): consensus 2026-28, then sales, margin, D&amp;A and capex projected for each sub-box. Two sub-boxes, summed. Ke unified with the other boxes.</t>
  </si>
  <si>
    <t>1. Inputs</t>
  </si>
  <si>
    <t>Item</t>
  </si>
  <si>
    <t>W&amp;E</t>
  </si>
  <si>
    <t>Ex</t>
  </si>
  <si>
    <t>Source / note</t>
  </si>
  <si>
    <t>Index points today</t>
  </si>
  <si>
    <t>W&amp;E = WEG &amp; Embraer; Ex = Cyclicals ex-WEG &amp; Embraer (Box Consensus).</t>
  </si>
  <si>
    <t>Long-term IPCA</t>
  </si>
  <si>
    <t>House and the analysts' Macro sheets.</t>
  </si>
  <si>
    <t>Share of the risk free kept after tax</t>
  </si>
  <si>
    <t>As the analysts: risk free = (NTN-B + IPCA) x 0.85.</t>
  </si>
  <si>
    <t>Equity risk premium, the same for every box</t>
  </si>
  <si>
    <t>Unified (Caio, Oct-8-2026).</t>
  </si>
  <si>
    <t>Earnings shock per 1% of the Ibovespa ex-Commodities shock (beta x normalization)</t>
  </si>
  <si>
    <t>Box Earnings!I13:I14 x I16 of the main model (WEG &amp; Embraer 0.13, ex 1.51, normalized by 1.19).</t>
  </si>
  <si>
    <t>Working capital, % of sales</t>
  </si>
  <si>
    <t>House assumption.</t>
  </si>
  <si>
    <t>Net margin from 2029 (blank = FY28 consensus of the sub-box)</t>
  </si>
  <si>
    <t>Typed value replaces the sub-box margin.</t>
  </si>
  <si>
    <t>Capex / D&amp;A in the last explicit year (capex % of sales goes linearly from FY28 to it)</t>
  </si>
  <si>
    <t>Caio, Oct-8-2026: capex converges to D&amp;A (maintenance) by the last explicit year, so the perpetuity does not carry expansion capex forever.</t>
  </si>
  <si>
    <t>D&amp;A, % of sales, from 2029 (blank = FY28 consensus)</t>
  </si>
  <si>
    <t>Typed value replaces the sub-box ratio.</t>
  </si>
  <si>
    <t>Growth after 2028 starts from the 2028 consensus sales growth and goes linearly to g in the last explicit year</t>
  </si>
  <si>
    <t>As the analysts: the top line drives the model; margins and capital intensity at FY28.</t>
  </si>
  <si>
    <t>WEG &amp; Embraer (global part): Brazil share of the real risk free</t>
  </si>
  <si>
    <t>Analysts' weights by revenue geography: WEG 35% Brazil (DCF &amp; Sensitivity C55), Embraer 20% (C66); weighted by index points.</t>
  </si>
  <si>
    <t>US real risk free</t>
  </si>
  <si>
    <t>Analysts: WEG 2.08% (F56), Embraer 2.51% (F69).</t>
  </si>
  <si>
    <t>2. House vs. analysts, variable by variable (choice: 1 = house, 2 = analysts)</t>
  </si>
  <si>
    <t>Variable</t>
  </si>
  <si>
    <t>House W&amp;E</t>
  </si>
  <si>
    <t>House Ex</t>
  </si>
  <si>
    <t>Analysts / GDP W&amp;E</t>
  </si>
  <si>
    <t>Analysts / GDP Ex</t>
  </si>
  <si>
    <t>Choice</t>
  </si>
  <si>
    <t>Used W&amp;E</t>
  </si>
  <si>
    <t>Used Ex</t>
  </si>
  <si>
    <t>House / analysts</t>
  </si>
  <si>
    <t>Beta</t>
  </si>
  <si>
    <t>House: sub-box betas, weekly 5 years from the local indices (Box Betas). Analysts: WEG 0.8 / Embraer 1.0; ex: Localiza 0.95, Rumo 1.0, Motiva 0.92, Renner 0.95, Totvs 0.8, Cyrela 1.46.</t>
  </si>
  <si>
    <t>Long-term real growth (g = IPCA + real growth)</t>
  </si>
  <si>
    <t>Long-term real growth. House: g 4.7% = about 0.7% real over a 4% IPCA. Nominal GDP (Caio, Oct-8-2026): real GDP 2%, as Financials - Cyclicals sell to the domestic economy and should grow with nominal GDP in the perpetuity.</t>
  </si>
  <si>
    <t>Explicit years after the value date</t>
  </si>
  <si>
    <t>Explicit years after end-2027. House: 2028-31. Analysts: to 2035.</t>
  </si>
  <si>
    <t>Extra periods in the discount of the terminal value</t>
  </si>
  <si>
    <t>Extra periods in the discount of the terminal value. House: one more than the last flow. Analysts: none.</t>
  </si>
  <si>
    <t>g used = IPCA + real growth (choice 2 = nominal GDP 6.0%, as Financials)</t>
  </si>
  <si>
    <t>3. Cost of equity by scenario</t>
  </si>
  <si>
    <t>Bear</t>
  </si>
  <si>
    <t>Base</t>
  </si>
  <si>
    <t>Bull</t>
  </si>
  <si>
    <t>How it is calculated</t>
  </si>
  <si>
    <t>5-year real rate (NTN-B)</t>
  </si>
  <si>
    <t>Same scenarios as the other boxes.</t>
  </si>
  <si>
    <t>Risk free, Brazil = (NTN-B + IPCA) x share kept after tax</t>
  </si>
  <si>
    <t>The rest of the index (unified).</t>
  </si>
  <si>
    <t>Risk free, global (WEG &amp; Embraer) = (Brazil share x NTN-B + US share x US real + IPCA) x share kept</t>
  </si>
  <si>
    <t>As the WEG and Embraer analysts: real risk free weighted by revenue geography; nominal in R$ with the IPCA.</t>
  </si>
  <si>
    <t>Ke, WEG &amp; Embraer = global risk free + beta x ERP</t>
  </si>
  <si>
    <t>Ke, Cyclicals ex-WEG &amp; Embraer = Brazil risk free + beta x ERP</t>
  </si>
  <si>
    <t>4a. WEG &amp; Embraer: projection (index points)</t>
  </si>
  <si>
    <t>Line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</si>
  <si>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</si>
  <si>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</si>
  <si>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</si>
  <si>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</si>
  <si>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</si>
  <si>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</si>
  <si>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</si>
  <si>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</si>
  <si>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</si>
  <si>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2036</t>
  </si>
  <si>
    <t>2037</t>
  </si>
  <si>
    <t>How it is calculated / source</t>
  </si>
  <si>
    <t>Years after end-2027 (grey = after the explicit years)</t>
  </si>
  <si>
    <t>Sales growth: 2027-28 consensus; then from the 2028 growth linearly to g in the last explicit year</t>
  </si>
  <si>
    <t>Sales</t>
  </si>
  <si>
    <t>2026-28: Box Consensus (sum of the members).</t>
  </si>
  <si>
    <t>Net margin (consensus; held at FY28 unless typed in the inputs)</t>
  </si>
  <si>
    <t>Net income = sales x net margin</t>
  </si>
  <si>
    <t>D&amp;A, % of sales (EBITDA - EBIT, consensus; held at FY28)</t>
  </si>
  <si>
    <t>(+) D&amp;A</t>
  </si>
  <si>
    <t>Capex, % of sales (consensus; then linearly to D&amp;A x C14 in the last explicit year)</t>
  </si>
  <si>
    <t>(-) Capex</t>
  </si>
  <si>
    <t>(+/-) Change in working capital = -NWC % x change in sales</t>
  </si>
  <si>
    <t>Cash to shareholders = net income + D&amp;A - capex +/- NWC</t>
  </si>
  <si>
    <t>The analysts' bridge, with net debt held constant (no new debt funds the capex); leases pending the Bloomberg pull.</t>
  </si>
  <si>
    <t>Cash to shareholders / net income</t>
  </si>
  <si>
    <t>Memo: ROE (consensus)</t>
  </si>
  <si>
    <t>Sum of net income / sum of book value (net income / BEST_ROE).</t>
  </si>
  <si>
    <t>Memo: implied return on reinvestment = sales growth / (1 - cash / net income)</t>
  </si>
  <si>
    <t>Sanity check of the perpetuity: the return the reinvested cash must earn to deliver the growth; compare with the ROE.</t>
  </si>
  <si>
    <t>4b. Cyclicals ex-WEG &amp; Embraer: projection (index points)</t>
  </si>
  <si>
    <t>5. Valuation at the end of 2027</t>
  </si>
  <si>
    <t>Earnings shock of the Ibovespa ex-Commodities</t>
  </si>
  <si>
    <t>Symmetric +/-20%, as the other boxes.</t>
  </si>
  <si>
    <t>WEG &amp; Embraer: earnings shock = beta x normalization x shock</t>
  </si>
  <si>
    <t>WEG &amp; Embraer: PV of the explicit flows (+ shock x PV of net income)</t>
  </si>
  <si>
    <t>WEG &amp; Embraer: PV of the terminal value</t>
  </si>
  <si>
    <t>Gordon on the last explicit flow.</t>
  </si>
  <si>
    <t>WEG &amp; Embraer: fair value (index pts)</t>
  </si>
  <si>
    <t>WEG &amp; Embraer: upside</t>
  </si>
  <si>
    <t>Cyclicals ex-WEG &amp; Embraer: earnings shock = beta x normalization x shock</t>
  </si>
  <si>
    <t>Cyclicals ex-WEG &amp; Embraer: PV of the explicit flows (+ shock x PV of net income)</t>
  </si>
  <si>
    <t>Cyclicals ex-WEG &amp; Embraer: PV of the terminal value</t>
  </si>
  <si>
    <t>Cyclicals ex-WEG &amp; Embraer: fair value (index pts)</t>
  </si>
  <si>
    <t>Cyclicals ex-WEG &amp; Embraer: upside</t>
  </si>
  <si>
    <t>Cyclicals: fair value (index pts) = sum of the parts (WEG &amp; Embraer, global + the rest, unified)</t>
  </si>
  <si>
    <t>Cyclicals: upside vs. today</t>
  </si>
  <si>
    <t>Memo: upside in the unified DCF by box (main model, v7b)</t>
  </si>
  <si>
    <t>Cyclicals_DCF_XP.xlsx.</t>
  </si>
  <si>
    <t>Memo: upside in the multiples model (Oct-6)</t>
  </si>
  <si>
    <t>Ibov_valuation_by_box_model_XP.xlsx.</t>
  </si>
  <si>
    <t>6. What is fixed (not switchable) and where it comes from</t>
  </si>
  <si>
    <t>Risk free nominal: (NTN-B + IPCA) x 0.85; ERP 5.5% for every box</t>
  </si>
  <si>
    <t>Unified (Caio)</t>
  </si>
  <si>
    <t>Sum of the parts: WEG &amp; Embraer valued as a global part (risk free by revenue geography, as their analysts); the rest unified</t>
  </si>
  <si>
    <t>Caio, Oct-8-2026</t>
  </si>
  <si>
    <t>Consensus only (2026-28 sales, net income, EBITDA, EBIT, capex); no company-specific adjustments</t>
  </si>
  <si>
    <t>Caio</t>
  </si>
  <si>
    <t>Cash to shareholders = net income + D&amp;A - capex +/- NWC, net debt constant (the analysts' bridge); perpetuity on the last explicit flow</t>
  </si>
  <si>
    <t>Analysts (Caio, Oct-8-2026)</t>
  </si>
  <si>
    <t>From 2029: sales from the 2028 growth to g; net margin and D&amp;A % of sales at FY28; capex converges to D&amp;A by the last explicit year</t>
  </si>
  <si>
    <t>Box level only (Caio)</t>
  </si>
  <si>
    <t>Scenario real rates 8.5% / today / 5.5%; earnings shock +/-20% x earnings beta, on net income</t>
  </si>
  <si>
    <t>House / main model</t>
  </si>
  <si>
    <t>Pending the Bloomberg pull: leases (IFRS 16) and concession fees</t>
  </si>
  <si>
    <t>Not in the consensus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</si>
</sst>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%"/>
    <numFmt numFmtId="166" formatCode="0.000"/>
    <numFmt numFmtId="167" formatCode="0.00&quot;x&quot;"/>
    <numFmt numFmtId="168" formatCode="\+0.0%;\-0.0%;0.0%"/>
    <numFmt numFmtId="169" formatCode="0.000000"/>
  </numFmts>
  <fonts count="13" x14ac:knownFonts="1">
    <font>
      <sz val="11"/>
      <color theme="1"/>
      <name val="Calibri"/>
      <family val="2"/>
      <scheme val="minor"/>
    </font>
    <font>
      <b/>
      <sz val="18"/>
      <color rgb="FF1D1E1F"/>
      <name val="Roboto"/>
      <family val="2"/>
    </font>
    <font>
      <i/>
      <sz val="10"/>
      <color rgb="FF74797C"/>
      <name val="Roboto"/>
      <family val="2"/>
    </font>
    <font>
      <i/>
      <sz val="10"/>
      <color rgb="FF0070C0"/>
      <name val="Roboto"/>
      <family val="2"/>
    </font>
    <font>
      <b/>
      <i/>
      <sz val="10"/>
      <color rgb="FF0070C0"/>
      <name val="Roboto"/>
      <family val="2"/>
    </font>
    <font>
      <i/>
      <sz val="10"/>
      <color rgb="FF18191A"/>
      <name val="Roboto"/>
      <family val="2"/>
    </font>
    <font>
      <b/>
      <sz val="10"/>
      <color rgb="FFFFFFFF"/>
      <name val="Roboto"/>
      <family val="2"/>
    </font>
    <font>
      <sz val="10"/>
      <color rgb="FF18191A"/>
      <name val="Roboto"/>
      <family val="2"/>
    </font>
    <font>
      <b/>
      <sz val="10"/>
      <color rgb="FF0070C0"/>
      <name val="Roboto"/>
      <family val="2"/>
    </font>
    <font>
      <sz val="10"/>
      <color rgb="FF0070C0"/>
      <name val="Roboto"/>
      <family val="2"/>
    </font>
    <font>
      <sz val="10"/>
      <color rgb="FF18191A"/>
      <name val="Roboto"/>
      <family val="2"/>
    </font>
    <font>
      <b/>
      <sz val="10"/>
      <color rgb="FF18191A"/>
      <name val="Roboto"/>
      <family val="2"/>
    </font>
    <font>
      <sz val="10"/>
      <color rgb="FF0070C0"/>
      <name val="Roboto"/>
      <family val="2"/>
    </font>
  </fonts>
  <fills count="4">
    <fill>
      <patternFill patternType="none"/>
    </fill>
    <fill>
      <patternFill patternType="gray125"/>
    </fill>
    <fill>
      <patternFill patternType="solid">
        <fgColor rgb="FFFFE7E7"/>
        <bgColor indexed="64"/>
      </patternFill>
    </fill>
    <fill>
      <patternFill patternType="solid">
        <fgColor rgb="FF1F2F44"/>
        <bgColor indexed="64"/>
      </patternFill>
    </fill>
  </fills>
  <borders count="3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5" fontId="8" fillId="2" borderId="1" xfId="0" applyNumberFormat="1" applyFont="1" applyFill="1" applyBorder="1" applyAlignment="1">
      <alignment vertical="center"/>
    </xf>
    <xf numFmtId="2" fontId="8" fillId="2" borderId="1" xfId="0" applyNumberFormat="1" applyFont="1" applyFill="1" applyBorder="1" applyAlignment="1">
      <alignment vertical="center"/>
    </xf>
    <xf numFmtId="10" fontId="8" fillId="2" borderId="1" xfId="0" applyNumberFormat="1" applyFont="1" applyFill="1" applyBorder="1" applyAlignment="1">
      <alignment vertical="center"/>
    </xf>
    <xf numFmtId="166" fontId="9" fillId="0" borderId="0" xfId="0" applyNumberFormat="1" applyFont="1" applyAlignment="1">
      <alignment vertical="center"/>
    </xf>
    <xf numFmtId="167" fontId="8" fillId="2" borderId="1" xfId="0" applyNumberFormat="1" applyFont="1" applyFill="1" applyBorder="1" applyAlignment="1">
      <alignment vertical="center"/>
    </xf>
    <xf numFmtId="9" fontId="8" fillId="2" borderId="1" xfId="0" applyNumberFormat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166" fontId="8" fillId="2" borderId="1" xfId="0" applyNumberFormat="1" applyFont="1" applyFill="1" applyBorder="1" applyAlignment="1">
      <alignment vertical="center"/>
    </xf>
    <xf numFmtId="1" fontId="8" fillId="2" borderId="1" xfId="0" applyNumberFormat="1" applyFont="1" applyFill="1" applyBorder="1" applyAlignment="1">
      <alignment horizontal="center" vertical="center"/>
    </xf>
    <xf numFmtId="166" fontId="11" fillId="0" borderId="0" xfId="0" applyNumberFormat="1" applyFont="1" applyAlignment="1">
      <alignment vertical="center"/>
    </xf>
    <xf numFmtId="165" fontId="11" fillId="0" borderId="0" xfId="0" applyNumberFormat="1" applyFont="1" applyAlignment="1">
      <alignment vertical="center"/>
    </xf>
    <xf numFmtId="1" fontId="8" fillId="2" borderId="1" xfId="0" applyNumberFormat="1" applyFont="1" applyFill="1" applyBorder="1" applyAlignment="1">
      <alignment vertical="center"/>
    </xf>
    <xf numFmtId="1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0" fontId="7" fillId="0" borderId="0" xfId="0" applyNumberFormat="1" applyFont="1" applyAlignment="1">
      <alignment vertical="center"/>
    </xf>
    <xf numFmtId="10" fontId="11" fillId="0" borderId="0" xfId="0" applyNumberFormat="1" applyFont="1" applyAlignment="1">
      <alignment vertical="center"/>
    </xf>
    <xf numFmtId="1" fontId="7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164" fontId="11" fillId="0" borderId="0" xfId="0" applyNumberFormat="1" applyFont="1" applyAlignment="1">
      <alignment vertical="center"/>
    </xf>
    <xf numFmtId="168" fontId="8" fillId="2" borderId="1" xfId="0" applyNumberFormat="1" applyFont="1" applyFill="1" applyBorder="1" applyAlignment="1">
      <alignment vertical="center"/>
    </xf>
    <xf numFmtId="168" fontId="7" fillId="0" borderId="0" xfId="0" applyNumberFormat="1" applyFont="1" applyAlignment="1">
      <alignment vertical="center"/>
    </xf>
    <xf numFmtId="168" fontId="11" fillId="0" borderId="0" xfId="0" applyNumberFormat="1" applyFont="1" applyAlignment="1">
      <alignment vertical="center"/>
    </xf>
    <xf numFmtId="168" fontId="9" fillId="0" borderId="0" xfId="0" applyNumberFormat="1" applyFont="1" applyAlignment="1">
      <alignment vertical="center"/>
    </xf>
    <xf numFmtId="164" fontId="12" fillId="0" borderId="0" xfId="0" applyNumberFormat="1" applyFont="1" applyAlignment="1">
      <alignment vertical="center"/>
    </xf>
    <xf numFmtId="169" fontId="10" fillId="0" borderId="0" xfId="0" applyNumberFormat="1" applyFont="1" applyAlignment="1">
      <alignment vertical="center"/>
    </xf>
    <xf numFmtId="3" fontId="12" fillId="0" borderId="0" xfId="0" applyNumberFormat="1" applyFont="1" applyAlignment="1">
      <alignment vertical="center"/>
    </xf>
    <xf numFmtId="165" fontId="12" fillId="0" borderId="0" xfId="0" applyNumberFormat="1" applyFont="1" applyAlignment="1">
      <alignment vertical="center"/>
    </xf>
    <xf numFmtId="3" fontId="10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11" fillId="0" borderId="2" xfId="0" applyFont="1" applyBorder="1" applyAlignment="1">
      <alignment vertical="center"/>
    </xf>
    <xf numFmtId="164" fontId="11" fillId="0" borderId="2" xfId="0" applyNumberFormat="1" applyFont="1" applyBorder="1" applyAlignment="1">
      <alignment vertical="center"/>
    </xf>
    <xf numFmtId="0" fontId="11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6" fillId="3" borderId="0" xfId="0" applyFont="1" applyFill="1" applyAlignment="1">
      <alignment vertical="center"/>
    </xf>
  </cellXfs>
  <cellStyles count="1">
    <cellStyle name="Normal" xfId="0" builtinId="0"/>
  </cellStyles>
  <dxfs count="2">
    <dxf>
      <font>
        <color rgb="FFA6A6A6"/>
      </font>
    </dxf>
    <dxf>
      <font>
        <color rgb="FFA6A6A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96"/>
  <sheetViews>
    <sheetView showGridLines="0" tabSelected="1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3.95" customHeight="1" x14ac:dyDescent="0.3"/>
  <cols>
    <col min="1" max="1" width="2.6640625" customWidth="1"/>
    <col min="2" max="2" width="66.6640625" customWidth="1"/>
    <col min="3" max="9" width="11.6640625" customWidth="1"/>
    <col min="10" max="14" width="11.33203125" customWidth="1"/>
    <col min="15" max="15" width="2.6640625" customWidth="1"/>
    <col min="16" max="16" width="90.6640625" customWidth="1"/>
  </cols>
  <sheetData>
    <row r="1" spans="2:16" ht="30" customHeight="1" x14ac:dyDescent="0.3">
      <c r="B1" s="1" t="s">
        <v>133</v>
      </c>
    </row>
    <row r="2" spans="2:16" ht="13.95" customHeight="1" x14ac:dyDescent="0.3">
      <c r="B2" s="2" t="s">
        <v>134</v>
      </c>
    </row>
    <row r="3" spans="2:16" ht="13.95" customHeight="1" x14ac:dyDescent="0.3">
      <c r="B3" s="2" t="s">
        <v>2</v>
      </c>
      <c r="C3" s="3" t="s">
        <v>3</v>
      </c>
      <c r="D3" s="4" t="s">
        <v>4</v>
      </c>
      <c r="E3" s="5" t="s">
        <v>5</v>
      </c>
    </row>
    <row r="5" spans="2:16" ht="13.95" customHeight="1" x14ac:dyDescent="0.3">
      <c r="B5" s="43" t="s">
        <v>135</v>
      </c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</row>
    <row r="6" spans="2:16" ht="13.95" customHeight="1" x14ac:dyDescent="0.3">
      <c r="B6" s="6" t="s">
        <v>136</v>
      </c>
      <c r="C6" s="7" t="s">
        <v>137</v>
      </c>
      <c r="D6" s="7" t="s">
        <v>138</v>
      </c>
      <c r="P6" s="7" t="s">
        <v>139</v>
      </c>
    </row>
    <row r="7" spans="2:16" ht="13.95" customHeight="1" x14ac:dyDescent="0.3">
      <c r="B7" s="8" t="s">
        <v>140</v>
      </c>
      <c r="C7" s="9">
        <f>'Box Consensus'!D61</f>
        <v>10204.555109283054</v>
      </c>
      <c r="D7" s="9">
        <f>'Box Consensus'!D62</f>
        <v>16066.51953698895</v>
      </c>
      <c r="P7" s="2" t="s">
        <v>141</v>
      </c>
    </row>
    <row r="8" spans="2:16" ht="13.95" customHeight="1" x14ac:dyDescent="0.3">
      <c r="B8" s="8" t="s">
        <v>142</v>
      </c>
      <c r="C8" s="10">
        <v>0.04</v>
      </c>
      <c r="P8" s="2" t="s">
        <v>143</v>
      </c>
    </row>
    <row r="9" spans="2:16" ht="13.95" customHeight="1" x14ac:dyDescent="0.3">
      <c r="B9" s="8" t="s">
        <v>144</v>
      </c>
      <c r="C9" s="11">
        <v>0.85</v>
      </c>
      <c r="P9" s="2" t="s">
        <v>145</v>
      </c>
    </row>
    <row r="10" spans="2:16" ht="13.95" customHeight="1" x14ac:dyDescent="0.3">
      <c r="B10" s="8" t="s">
        <v>146</v>
      </c>
      <c r="C10" s="12">
        <v>5.5E-2</v>
      </c>
      <c r="P10" s="2" t="s">
        <v>147</v>
      </c>
    </row>
    <row r="11" spans="2:16" ht="13.95" customHeight="1" x14ac:dyDescent="0.3">
      <c r="B11" s="8" t="s">
        <v>148</v>
      </c>
      <c r="C11" s="13">
        <v>0.1508580614916</v>
      </c>
      <c r="D11" s="13">
        <v>1.7925092850636</v>
      </c>
      <c r="P11" s="2" t="s">
        <v>149</v>
      </c>
    </row>
    <row r="12" spans="2:16" ht="13.95" customHeight="1" x14ac:dyDescent="0.3">
      <c r="B12" s="8" t="s">
        <v>150</v>
      </c>
      <c r="C12" s="10">
        <v>0.04</v>
      </c>
      <c r="P12" s="2" t="s">
        <v>151</v>
      </c>
    </row>
    <row r="13" spans="2:16" ht="13.95" customHeight="1" x14ac:dyDescent="0.3">
      <c r="B13" s="8" t="s">
        <v>152</v>
      </c>
      <c r="C13" s="10"/>
      <c r="D13" s="10"/>
      <c r="P13" s="2" t="s">
        <v>153</v>
      </c>
    </row>
    <row r="14" spans="2:16" ht="13.95" customHeight="1" x14ac:dyDescent="0.3">
      <c r="B14" s="8" t="s">
        <v>154</v>
      </c>
      <c r="C14" s="14">
        <v>1</v>
      </c>
      <c r="D14" s="14">
        <v>1</v>
      </c>
      <c r="P14" s="2" t="s">
        <v>155</v>
      </c>
    </row>
    <row r="15" spans="2:16" ht="13.95" customHeight="1" x14ac:dyDescent="0.3">
      <c r="B15" s="8" t="s">
        <v>156</v>
      </c>
      <c r="C15" s="10"/>
      <c r="D15" s="10"/>
      <c r="P15" s="2" t="s">
        <v>157</v>
      </c>
    </row>
    <row r="16" spans="2:16" ht="13.95" customHeight="1" x14ac:dyDescent="0.3">
      <c r="B16" s="8" t="s">
        <v>158</v>
      </c>
      <c r="P16" s="2" t="s">
        <v>159</v>
      </c>
    </row>
    <row r="17" spans="2:16" ht="13.95" customHeight="1" x14ac:dyDescent="0.3">
      <c r="B17" s="8" t="s">
        <v>160</v>
      </c>
      <c r="C17" s="15">
        <v>0.27917605785626087</v>
      </c>
      <c r="P17" s="2" t="s">
        <v>161</v>
      </c>
    </row>
    <row r="18" spans="2:16" ht="13.95" customHeight="1" x14ac:dyDescent="0.3">
      <c r="B18" s="8" t="s">
        <v>162</v>
      </c>
      <c r="C18" s="12">
        <v>2.1000000000000001E-2</v>
      </c>
      <c r="P18" s="2" t="s">
        <v>163</v>
      </c>
    </row>
    <row r="19" spans="2:16" ht="13.95" customHeight="1" x14ac:dyDescent="0.3">
      <c r="B19" s="43" t="s">
        <v>164</v>
      </c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</row>
    <row r="20" spans="2:16" ht="30" customHeight="1" x14ac:dyDescent="0.3">
      <c r="B20" s="6" t="s">
        <v>165</v>
      </c>
      <c r="C20" s="7" t="s">
        <v>166</v>
      </c>
      <c r="D20" s="7" t="s">
        <v>167</v>
      </c>
      <c r="E20" s="7" t="s">
        <v>168</v>
      </c>
      <c r="F20" s="7" t="s">
        <v>169</v>
      </c>
      <c r="G20" s="7" t="s">
        <v>170</v>
      </c>
      <c r="H20" s="7" t="s">
        <v>171</v>
      </c>
      <c r="I20" s="7" t="s">
        <v>172</v>
      </c>
      <c r="P20" s="7" t="s">
        <v>173</v>
      </c>
    </row>
    <row r="21" spans="2:16" ht="13.95" customHeight="1" x14ac:dyDescent="0.3">
      <c r="B21" s="16" t="s">
        <v>174</v>
      </c>
      <c r="C21" s="17">
        <v>0.72140000000000004</v>
      </c>
      <c r="D21" s="17">
        <v>1.3240000000000001</v>
      </c>
      <c r="E21" s="17">
        <v>0.89</v>
      </c>
      <c r="F21" s="17">
        <v>1.02</v>
      </c>
      <c r="G21" s="18">
        <v>1</v>
      </c>
      <c r="H21" s="19">
        <f t="shared" ref="H21:I24" si="0">IF($G21=1,C21,E21)</f>
        <v>0.72140000000000004</v>
      </c>
      <c r="I21" s="19">
        <f t="shared" si="0"/>
        <v>1.3240000000000001</v>
      </c>
      <c r="P21" s="2" t="s">
        <v>175</v>
      </c>
    </row>
    <row r="22" spans="2:16" ht="13.95" customHeight="1" x14ac:dyDescent="0.3">
      <c r="B22" s="16" t="s">
        <v>176</v>
      </c>
      <c r="C22" s="10">
        <v>7.0000000000000001E-3</v>
      </c>
      <c r="D22" s="10">
        <v>7.0000000000000001E-3</v>
      </c>
      <c r="E22" s="10">
        <v>0.02</v>
      </c>
      <c r="F22" s="10">
        <v>0.02</v>
      </c>
      <c r="G22" s="18">
        <v>2</v>
      </c>
      <c r="H22" s="20">
        <f t="shared" si="0"/>
        <v>0.02</v>
      </c>
      <c r="I22" s="20">
        <f t="shared" si="0"/>
        <v>0.02</v>
      </c>
      <c r="P22" s="2" t="s">
        <v>177</v>
      </c>
    </row>
    <row r="23" spans="2:16" ht="13.95" customHeight="1" x14ac:dyDescent="0.3">
      <c r="B23" s="16" t="s">
        <v>178</v>
      </c>
      <c r="C23" s="21">
        <v>4</v>
      </c>
      <c r="D23" s="21">
        <v>4</v>
      </c>
      <c r="E23" s="21">
        <v>8</v>
      </c>
      <c r="F23" s="21">
        <v>8</v>
      </c>
      <c r="G23" s="18">
        <v>2</v>
      </c>
      <c r="H23" s="22">
        <f t="shared" si="0"/>
        <v>8</v>
      </c>
      <c r="I23" s="22">
        <f t="shared" si="0"/>
        <v>8</v>
      </c>
      <c r="P23" s="2" t="s">
        <v>179</v>
      </c>
    </row>
    <row r="24" spans="2:16" ht="13.95" customHeight="1" x14ac:dyDescent="0.3">
      <c r="B24" s="16" t="s">
        <v>180</v>
      </c>
      <c r="C24" s="21">
        <v>1</v>
      </c>
      <c r="D24" s="21">
        <v>1</v>
      </c>
      <c r="E24" s="21">
        <v>0</v>
      </c>
      <c r="F24" s="21">
        <v>0</v>
      </c>
      <c r="G24" s="18">
        <v>2</v>
      </c>
      <c r="H24" s="22">
        <f t="shared" si="0"/>
        <v>0</v>
      </c>
      <c r="I24" s="22">
        <f t="shared" si="0"/>
        <v>0</v>
      </c>
      <c r="P24" s="2" t="s">
        <v>181</v>
      </c>
    </row>
    <row r="25" spans="2:16" ht="13.95" customHeight="1" x14ac:dyDescent="0.3">
      <c r="B25" s="23" t="s">
        <v>182</v>
      </c>
      <c r="H25" s="20">
        <f>$C$8+H22</f>
        <v>0.06</v>
      </c>
      <c r="I25" s="20">
        <f>$C$8+I22</f>
        <v>0.06</v>
      </c>
    </row>
    <row r="27" spans="2:16" ht="13.95" customHeight="1" x14ac:dyDescent="0.3">
      <c r="B27" s="43" t="s">
        <v>183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</row>
    <row r="28" spans="2:16" ht="13.95" customHeight="1" x14ac:dyDescent="0.3">
      <c r="B28" s="6" t="s">
        <v>136</v>
      </c>
      <c r="C28" s="7" t="s">
        <v>184</v>
      </c>
      <c r="D28" s="7" t="s">
        <v>185</v>
      </c>
      <c r="E28" s="7" t="s">
        <v>186</v>
      </c>
      <c r="P28" s="7" t="s">
        <v>187</v>
      </c>
    </row>
    <row r="29" spans="2:16" ht="13.95" customHeight="1" x14ac:dyDescent="0.3">
      <c r="B29" s="8" t="s">
        <v>188</v>
      </c>
      <c r="C29" s="12">
        <v>8.5000000000000006E-2</v>
      </c>
      <c r="D29" s="12">
        <v>6.7599999999999993E-2</v>
      </c>
      <c r="E29" s="12">
        <v>5.5E-2</v>
      </c>
      <c r="P29" s="2" t="s">
        <v>189</v>
      </c>
    </row>
    <row r="30" spans="2:16" ht="13.95" customHeight="1" x14ac:dyDescent="0.3">
      <c r="B30" s="8" t="s">
        <v>190</v>
      </c>
      <c r="C30" s="24">
        <f>(C29+$C$8)*$C$9</f>
        <v>0.10625</v>
      </c>
      <c r="D30" s="24">
        <f>(D29+$C$8)*$C$9</f>
        <v>9.146E-2</v>
      </c>
      <c r="E30" s="24">
        <f>(E29+$C$8)*$C$9</f>
        <v>8.0750000000000002E-2</v>
      </c>
      <c r="P30" s="2" t="s">
        <v>191</v>
      </c>
    </row>
    <row r="31" spans="2:16" ht="13.95" customHeight="1" x14ac:dyDescent="0.3">
      <c r="B31" s="8" t="s">
        <v>192</v>
      </c>
      <c r="C31" s="24">
        <f>($C$17*C29+(1-$C$17)*$C$18+$C$8)*$C$9</f>
        <v>6.7037177547380589E-2</v>
      </c>
      <c r="D31" s="24">
        <f>($C$17*D29+(1-$C$17)*$C$18+$C$8)*$C$9</f>
        <v>6.2908163651686499E-2</v>
      </c>
      <c r="E31" s="24">
        <f>($C$17*E29+(1-$C$17)*$C$18+$C$8)*$C$9</f>
        <v>5.9918188072045936E-2</v>
      </c>
      <c r="P31" s="2" t="s">
        <v>193</v>
      </c>
    </row>
    <row r="32" spans="2:16" ht="13.95" customHeight="1" x14ac:dyDescent="0.3">
      <c r="B32" s="23" t="s">
        <v>194</v>
      </c>
      <c r="C32" s="25">
        <f>C31+$H$21*$C$10</f>
        <v>0.10671417754738059</v>
      </c>
      <c r="D32" s="25">
        <f>D31+$H$21*$C$10</f>
        <v>0.1025851636516865</v>
      </c>
      <c r="E32" s="25">
        <f>E31+$H$21*$C$10</f>
        <v>9.959518807204594E-2</v>
      </c>
    </row>
    <row r="33" spans="2:16" ht="13.95" customHeight="1" x14ac:dyDescent="0.3">
      <c r="B33" s="23" t="s">
        <v>195</v>
      </c>
      <c r="C33" s="25">
        <f>C30+$I$21*$C$10</f>
        <v>0.17907000000000001</v>
      </c>
      <c r="D33" s="25">
        <f>D30+$I$21*$C$10</f>
        <v>0.16428000000000001</v>
      </c>
      <c r="E33" s="25">
        <f>E30+$I$21*$C$10</f>
        <v>0.15357000000000001</v>
      </c>
    </row>
    <row r="35" spans="2:16" ht="13.95" customHeight="1" x14ac:dyDescent="0.3">
      <c r="B35" s="43" t="s">
        <v>196</v>
      </c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</row>
    <row r="36" spans="2:16" ht="13.95" customHeight="1" x14ac:dyDescent="0.3">
      <c r="B36" s="6" t="s">
        <v>197</v>
      </c>
      <c r="C36" s="7" t="s">
        <v>198</v>
      </c>
      <c r="D36" s="7" t="s">
        <v>199</v>
      </c>
      <c r="E36" s="7" t="s">
        <v>200</v>
      </c>
      <c r="F36" s="7" t="s">
        <v>201</v>
      </c>
      <c r="G36" s="7" t="s">
        <v>202</v>
      </c>
      <c r="H36" s="7" t="s">
        <v>203</v>
      </c>
      <c r="I36" s="7" t="s">
        <v>204</v>
      </c>
      <c r="J36" s="7" t="s">
        <v>205</v>
      </c>
      <c r="K36" s="7" t="s">
        <v>206</v>
      </c>
      <c r="L36" s="7" t="s">
        <v>79</v>
      </c>
      <c r="M36" s="7" t="s">
        <v>207</v>
      </c>
      <c r="N36" s="7" t="s">
        <v>208</v>
      </c>
      <c r="P36" s="7" t="s">
        <v>209</v>
      </c>
    </row>
    <row r="37" spans="2:16" ht="13.95" customHeight="1" x14ac:dyDescent="0.3">
      <c r="B37" s="8" t="s">
        <v>210</v>
      </c>
      <c r="E37" s="26">
        <f>2028-2027</f>
        <v>1</v>
      </c>
      <c r="F37" s="26">
        <f>2029-2027</f>
        <v>2</v>
      </c>
      <c r="G37" s="26">
        <f>2030-2027</f>
        <v>3</v>
      </c>
      <c r="H37" s="26">
        <f>2031-2027</f>
        <v>4</v>
      </c>
      <c r="I37" s="26">
        <f>2032-2027</f>
        <v>5</v>
      </c>
      <c r="J37" s="26">
        <f>2033-2027</f>
        <v>6</v>
      </c>
      <c r="K37" s="26">
        <f>2034-2027</f>
        <v>7</v>
      </c>
      <c r="L37" s="26">
        <f>2035-2027</f>
        <v>8</v>
      </c>
      <c r="M37" s="26">
        <f>2036-2027</f>
        <v>9</v>
      </c>
      <c r="N37" s="26">
        <f>2037-2027</f>
        <v>10</v>
      </c>
    </row>
    <row r="38" spans="2:16" ht="13.95" customHeight="1" x14ac:dyDescent="0.3">
      <c r="B38" s="8" t="s">
        <v>211</v>
      </c>
      <c r="D38" s="27">
        <f>D39/C39-1</f>
        <v>0.12959741151675552</v>
      </c>
      <c r="E38" s="27">
        <f>E39/D39-1</f>
        <v>0.12257649999689435</v>
      </c>
      <c r="F38" s="27">
        <f t="shared" ref="F38:N38" si="1">IF(F37&gt;=NExp,$H$25,$E$38+($H$25-$E$38)*(F37-1)/(NExp-1))</f>
        <v>0.11363699999733802</v>
      </c>
      <c r="G38" s="27">
        <f t="shared" si="1"/>
        <v>0.10469749999778168</v>
      </c>
      <c r="H38" s="27">
        <f t="shared" si="1"/>
        <v>9.5757999998225346E-2</v>
      </c>
      <c r="I38" s="27">
        <f t="shared" si="1"/>
        <v>8.6818499998669002E-2</v>
      </c>
      <c r="J38" s="27">
        <f t="shared" si="1"/>
        <v>7.7878999999112672E-2</v>
      </c>
      <c r="K38" s="27">
        <f t="shared" si="1"/>
        <v>6.8939499999556342E-2</v>
      </c>
      <c r="L38" s="27">
        <f t="shared" si="1"/>
        <v>0.06</v>
      </c>
      <c r="M38" s="27">
        <f t="shared" si="1"/>
        <v>0.06</v>
      </c>
      <c r="N38" s="27">
        <f t="shared" si="1"/>
        <v>0.06</v>
      </c>
    </row>
    <row r="39" spans="2:16" ht="13.95" customHeight="1" x14ac:dyDescent="0.3">
      <c r="B39" s="8" t="s">
        <v>212</v>
      </c>
      <c r="C39" s="9">
        <f>'Box Consensus'!F61</f>
        <v>4279.3754778032599</v>
      </c>
      <c r="D39" s="9">
        <f>'Box Consensus'!G61</f>
        <v>4833.9714626348414</v>
      </c>
      <c r="E39" s="9">
        <f>'Box Consensus'!H61</f>
        <v>5426.5027656094881</v>
      </c>
      <c r="F39" s="9">
        <f t="shared" ref="F39:N39" si="2">E39*(1+F38)</f>
        <v>6043.1542603706084</v>
      </c>
      <c r="G39" s="9">
        <f t="shared" si="2"/>
        <v>6675.8574035323545</v>
      </c>
      <c r="H39" s="9">
        <f t="shared" si="2"/>
        <v>7315.124156767959</v>
      </c>
      <c r="I39" s="9">
        <f t="shared" si="2"/>
        <v>7950.2122633625813</v>
      </c>
      <c r="J39" s="9">
        <f t="shared" si="2"/>
        <v>8569.3668442139424</v>
      </c>
      <c r="K39" s="9">
        <f t="shared" si="2"/>
        <v>9160.1347097668277</v>
      </c>
      <c r="L39" s="9">
        <f t="shared" si="2"/>
        <v>9709.7427923528376</v>
      </c>
      <c r="M39" s="9">
        <f t="shared" si="2"/>
        <v>10292.327359894009</v>
      </c>
      <c r="N39" s="9">
        <f t="shared" si="2"/>
        <v>10909.86700148765</v>
      </c>
      <c r="P39" s="2" t="s">
        <v>213</v>
      </c>
    </row>
    <row r="40" spans="2:16" ht="13.95" customHeight="1" x14ac:dyDescent="0.3">
      <c r="B40" s="8" t="s">
        <v>214</v>
      </c>
      <c r="C40" s="27">
        <f>'Box Consensus'!O61/'Box Consensus'!F61</f>
        <v>8.7764652829841625E-2</v>
      </c>
      <c r="D40" s="27">
        <f>'Box Consensus'!P61/'Box Consensus'!G61</f>
        <v>9.3459180982578799E-2</v>
      </c>
      <c r="E40" s="27">
        <f>'Box Consensus'!Q61/'Box Consensus'!H61</f>
        <v>9.9100679458742819E-2</v>
      </c>
      <c r="F40" s="27">
        <f t="shared" ref="F40:N40" si="3">IF(ISNUMBER($C$13),$C$13,$E$40)</f>
        <v>9.9100679458742819E-2</v>
      </c>
      <c r="G40" s="27">
        <f t="shared" si="3"/>
        <v>9.9100679458742819E-2</v>
      </c>
      <c r="H40" s="27">
        <f t="shared" si="3"/>
        <v>9.9100679458742819E-2</v>
      </c>
      <c r="I40" s="27">
        <f t="shared" si="3"/>
        <v>9.9100679458742819E-2</v>
      </c>
      <c r="J40" s="27">
        <f t="shared" si="3"/>
        <v>9.9100679458742819E-2</v>
      </c>
      <c r="K40" s="27">
        <f t="shared" si="3"/>
        <v>9.9100679458742819E-2</v>
      </c>
      <c r="L40" s="27">
        <f t="shared" si="3"/>
        <v>9.9100679458742819E-2</v>
      </c>
      <c r="M40" s="27">
        <f t="shared" si="3"/>
        <v>9.9100679458742819E-2</v>
      </c>
      <c r="N40" s="27">
        <f t="shared" si="3"/>
        <v>9.9100679458742819E-2</v>
      </c>
    </row>
    <row r="41" spans="2:16" ht="13.95" customHeight="1" x14ac:dyDescent="0.3">
      <c r="B41" s="23" t="s">
        <v>215</v>
      </c>
      <c r="C41" s="28">
        <f t="shared" ref="C41:N41" si="4">C39*C40</f>
        <v>375.57790313794072</v>
      </c>
      <c r="D41" s="28">
        <f t="shared" si="4"/>
        <v>451.77901379101081</v>
      </c>
      <c r="E41" s="28">
        <f t="shared" si="4"/>
        <v>537.77011115664732</v>
      </c>
      <c r="F41" s="28">
        <f t="shared" si="4"/>
        <v>598.88069327672372</v>
      </c>
      <c r="G41" s="28">
        <f t="shared" si="4"/>
        <v>661.58200465973493</v>
      </c>
      <c r="H41" s="28">
        <f t="shared" si="4"/>
        <v>724.9337742607679</v>
      </c>
      <c r="I41" s="28">
        <f t="shared" si="4"/>
        <v>787.87143714046147</v>
      </c>
      <c r="J41" s="28">
        <f t="shared" si="4"/>
        <v>849.23007679282443</v>
      </c>
      <c r="K41" s="28">
        <f t="shared" si="4"/>
        <v>907.77557367150655</v>
      </c>
      <c r="L41" s="28">
        <f t="shared" si="4"/>
        <v>962.24210809179704</v>
      </c>
      <c r="M41" s="28">
        <f t="shared" si="4"/>
        <v>1019.9766345773049</v>
      </c>
      <c r="N41" s="28">
        <f t="shared" si="4"/>
        <v>1081.1752326519431</v>
      </c>
    </row>
    <row r="42" spans="2:16" ht="13.95" customHeight="1" x14ac:dyDescent="0.3">
      <c r="B42" s="8" t="s">
        <v>216</v>
      </c>
      <c r="C42" s="27">
        <f>('Box Consensus'!I61-'Box Consensus'!L61)/'Box Consensus'!F61</f>
        <v>2.787859645652082E-2</v>
      </c>
      <c r="D42" s="27">
        <f>('Box Consensus'!J61-'Box Consensus'!M61)/'Box Consensus'!G61</f>
        <v>2.6076899221155744E-2</v>
      </c>
      <c r="E42" s="27">
        <f>('Box Consensus'!K61-'Box Consensus'!N61)/'Box Consensus'!H61</f>
        <v>2.6265690255641627E-2</v>
      </c>
      <c r="F42" s="27">
        <f t="shared" ref="F42:N42" si="5">IF(ISNUMBER($C$15),$C$15,$E$42)</f>
        <v>2.6265690255641627E-2</v>
      </c>
      <c r="G42" s="27">
        <f t="shared" si="5"/>
        <v>2.6265690255641627E-2</v>
      </c>
      <c r="H42" s="27">
        <f t="shared" si="5"/>
        <v>2.6265690255641627E-2</v>
      </c>
      <c r="I42" s="27">
        <f t="shared" si="5"/>
        <v>2.6265690255641627E-2</v>
      </c>
      <c r="J42" s="27">
        <f t="shared" si="5"/>
        <v>2.6265690255641627E-2</v>
      </c>
      <c r="K42" s="27">
        <f t="shared" si="5"/>
        <v>2.6265690255641627E-2</v>
      </c>
      <c r="L42" s="27">
        <f t="shared" si="5"/>
        <v>2.6265690255641627E-2</v>
      </c>
      <c r="M42" s="27">
        <f t="shared" si="5"/>
        <v>2.6265690255641627E-2</v>
      </c>
      <c r="N42" s="27">
        <f t="shared" si="5"/>
        <v>2.6265690255641627E-2</v>
      </c>
    </row>
    <row r="43" spans="2:16" ht="13.95" customHeight="1" x14ac:dyDescent="0.3">
      <c r="B43" s="8" t="s">
        <v>217</v>
      </c>
      <c r="C43" s="9">
        <f t="shared" ref="C43:N43" si="6">C39*C42</f>
        <v>119.30298203160805</v>
      </c>
      <c r="D43" s="9">
        <f t="shared" si="6"/>
        <v>126.05498666907158</v>
      </c>
      <c r="E43" s="9">
        <f t="shared" si="6"/>
        <v>142.53084081288148</v>
      </c>
      <c r="F43" s="9">
        <f t="shared" si="6"/>
        <v>158.72761796995547</v>
      </c>
      <c r="G43" s="9">
        <f t="shared" si="6"/>
        <v>175.34600275201277</v>
      </c>
      <c r="H43" s="9">
        <f t="shared" si="6"/>
        <v>192.13678528322885</v>
      </c>
      <c r="I43" s="9">
        <f t="shared" si="6"/>
        <v>208.81781277608511</v>
      </c>
      <c r="J43" s="9">
        <f t="shared" si="6"/>
        <v>225.08033521708859</v>
      </c>
      <c r="K43" s="9">
        <f t="shared" si="6"/>
        <v>240.59726098668722</v>
      </c>
      <c r="L43" s="9">
        <f t="shared" si="6"/>
        <v>255.03309664588846</v>
      </c>
      <c r="M43" s="9">
        <f t="shared" si="6"/>
        <v>270.33508244464178</v>
      </c>
      <c r="N43" s="9">
        <f t="shared" si="6"/>
        <v>286.55518739132032</v>
      </c>
    </row>
    <row r="44" spans="2:16" ht="13.95" customHeight="1" x14ac:dyDescent="0.3">
      <c r="B44" s="8" t="s">
        <v>218</v>
      </c>
      <c r="C44" s="27">
        <f>-('Box Consensus'!R61+'Box Consensus'!U61)/'Box Consensus'!F61</f>
        <v>5.1325309963397847E-2</v>
      </c>
      <c r="D44" s="27">
        <f>-('Box Consensus'!S61+'Box Consensus'!V61)/'Box Consensus'!G61</f>
        <v>4.6104730319517728E-2</v>
      </c>
      <c r="E44" s="27">
        <f>-('Box Consensus'!T61+'Box Consensus'!W61)/'Box Consensus'!H61</f>
        <v>4.2876079130687091E-2</v>
      </c>
      <c r="F44" s="27">
        <f t="shared" ref="F44:N44" si="7">IF(F37&gt;=NExp,F42*$C$14,$E$44+(F42*$C$14-$E$44)*(F37-1)/(NExp-1))</f>
        <v>4.0503166434252023E-2</v>
      </c>
      <c r="G44" s="27">
        <f t="shared" si="7"/>
        <v>3.8130253737816956E-2</v>
      </c>
      <c r="H44" s="27">
        <f t="shared" si="7"/>
        <v>3.5757341041381889E-2</v>
      </c>
      <c r="I44" s="27">
        <f t="shared" si="7"/>
        <v>3.3384428344946829E-2</v>
      </c>
      <c r="J44" s="27">
        <f t="shared" si="7"/>
        <v>3.1011515648511762E-2</v>
      </c>
      <c r="K44" s="27">
        <f t="shared" si="7"/>
        <v>2.8638602952076694E-2</v>
      </c>
      <c r="L44" s="27">
        <f t="shared" si="7"/>
        <v>2.6265690255641627E-2</v>
      </c>
      <c r="M44" s="27">
        <f t="shared" si="7"/>
        <v>2.6265690255641627E-2</v>
      </c>
      <c r="N44" s="27">
        <f t="shared" si="7"/>
        <v>2.6265690255641627E-2</v>
      </c>
    </row>
    <row r="45" spans="2:16" ht="13.95" customHeight="1" x14ac:dyDescent="0.3">
      <c r="B45" s="8" t="s">
        <v>219</v>
      </c>
      <c r="C45" s="9">
        <f t="shared" ref="C45:N45" si="8">-C39*C44</f>
        <v>-219.64027284801608</v>
      </c>
      <c r="D45" s="9">
        <f t="shared" si="8"/>
        <v>-222.86895065702404</v>
      </c>
      <c r="E45" s="9">
        <f t="shared" si="8"/>
        <v>-232.66716198116475</v>
      </c>
      <c r="F45" s="9">
        <f t="shared" si="8"/>
        <v>-244.76688279564993</v>
      </c>
      <c r="G45" s="9">
        <f t="shared" si="8"/>
        <v>-254.55213671417255</v>
      </c>
      <c r="H45" s="9">
        <f t="shared" si="8"/>
        <v>-261.56938923360303</v>
      </c>
      <c r="I45" s="9">
        <f t="shared" si="8"/>
        <v>-265.41329163334564</v>
      </c>
      <c r="J45" s="9">
        <f t="shared" si="8"/>
        <v>-265.74905398717851</v>
      </c>
      <c r="K45" s="9">
        <f t="shared" si="8"/>
        <v>-262.33346094054849</v>
      </c>
      <c r="L45" s="9">
        <f t="shared" si="8"/>
        <v>-255.03309664588846</v>
      </c>
      <c r="M45" s="9">
        <f t="shared" si="8"/>
        <v>-270.33508244464178</v>
      </c>
      <c r="N45" s="9">
        <f t="shared" si="8"/>
        <v>-286.55518739132032</v>
      </c>
    </row>
    <row r="46" spans="2:16" ht="13.95" customHeight="1" x14ac:dyDescent="0.3">
      <c r="B46" s="8" t="s">
        <v>220</v>
      </c>
      <c r="D46" s="9">
        <f t="shared" ref="D46:N46" si="9">-$C$12*(D39-C39)</f>
        <v>-22.183839393263263</v>
      </c>
      <c r="E46" s="9">
        <f t="shared" si="9"/>
        <v>-23.701252118985867</v>
      </c>
      <c r="F46" s="9">
        <f t="shared" si="9"/>
        <v>-24.666059790444816</v>
      </c>
      <c r="G46" s="9">
        <f t="shared" si="9"/>
        <v>-25.308125726469843</v>
      </c>
      <c r="H46" s="9">
        <f t="shared" si="9"/>
        <v>-25.57067012942418</v>
      </c>
      <c r="I46" s="9">
        <f t="shared" si="9"/>
        <v>-25.403524263784895</v>
      </c>
      <c r="J46" s="9">
        <f t="shared" si="9"/>
        <v>-24.766183234054441</v>
      </c>
      <c r="K46" s="9">
        <f t="shared" si="9"/>
        <v>-23.630714622115413</v>
      </c>
      <c r="L46" s="9">
        <f t="shared" si="9"/>
        <v>-21.984323303440398</v>
      </c>
      <c r="M46" s="9">
        <f t="shared" si="9"/>
        <v>-23.303382701646843</v>
      </c>
      <c r="N46" s="9">
        <f t="shared" si="9"/>
        <v>-24.701585663745647</v>
      </c>
    </row>
    <row r="47" spans="2:16" ht="13.95" customHeight="1" x14ac:dyDescent="0.3">
      <c r="B47" s="23" t="s">
        <v>221</v>
      </c>
      <c r="D47" s="28">
        <f t="shared" ref="D47:N47" si="10">D41+D43+D45+D46</f>
        <v>332.78121040979511</v>
      </c>
      <c r="E47" s="28">
        <f t="shared" si="10"/>
        <v>423.93253786937817</v>
      </c>
      <c r="F47" s="28">
        <f t="shared" si="10"/>
        <v>488.17536866058447</v>
      </c>
      <c r="G47" s="28">
        <f t="shared" si="10"/>
        <v>557.0677449711053</v>
      </c>
      <c r="H47" s="28">
        <f t="shared" si="10"/>
        <v>629.93050018096949</v>
      </c>
      <c r="I47" s="28">
        <f t="shared" si="10"/>
        <v>705.872434019416</v>
      </c>
      <c r="J47" s="28">
        <f t="shared" si="10"/>
        <v>783.79517478868013</v>
      </c>
      <c r="K47" s="28">
        <f t="shared" si="10"/>
        <v>862.40865909552986</v>
      </c>
      <c r="L47" s="28">
        <f t="shared" si="10"/>
        <v>940.25778478835662</v>
      </c>
      <c r="M47" s="28">
        <f t="shared" si="10"/>
        <v>996.67325187565802</v>
      </c>
      <c r="N47" s="28">
        <f t="shared" si="10"/>
        <v>1056.4736469881975</v>
      </c>
      <c r="P47" s="2" t="s">
        <v>222</v>
      </c>
    </row>
    <row r="48" spans="2:16" ht="13.95" customHeight="1" x14ac:dyDescent="0.3">
      <c r="B48" s="8" t="s">
        <v>223</v>
      </c>
      <c r="D48" s="27">
        <f t="shared" ref="D48:N48" si="11">D47/D41</f>
        <v>0.73660174610000129</v>
      </c>
      <c r="E48" s="27">
        <f t="shared" si="11"/>
        <v>0.78831554427146411</v>
      </c>
      <c r="F48" s="27">
        <f t="shared" si="11"/>
        <v>0.81514627895178138</v>
      </c>
      <c r="G48" s="27">
        <f t="shared" si="11"/>
        <v>0.84202372653351798</v>
      </c>
      <c r="H48" s="27">
        <f t="shared" si="11"/>
        <v>0.86894903030738846</v>
      </c>
      <c r="I48" s="27">
        <f t="shared" si="11"/>
        <v>0.89592337118012988</v>
      </c>
      <c r="J48" s="27">
        <f t="shared" si="11"/>
        <v>0.92294796923436384</v>
      </c>
      <c r="K48" s="27">
        <f t="shared" si="11"/>
        <v>0.950024085366728</v>
      </c>
      <c r="L48" s="27">
        <f t="shared" si="11"/>
        <v>0.97715302300890039</v>
      </c>
      <c r="M48" s="27">
        <f t="shared" si="11"/>
        <v>0.97715302300890039</v>
      </c>
      <c r="N48" s="27">
        <f t="shared" si="11"/>
        <v>0.9771530230089005</v>
      </c>
    </row>
    <row r="49" spans="2:16" ht="13.95" customHeight="1" x14ac:dyDescent="0.3">
      <c r="B49" s="8" t="s">
        <v>224</v>
      </c>
      <c r="C49" s="27">
        <f>'Box Consensus'!O61/'Box Consensus'!X61</f>
        <v>0.20467261558122829</v>
      </c>
      <c r="D49" s="27">
        <f>'Box Consensus'!P61/'Box Consensus'!Y61</f>
        <v>0.2116250070298771</v>
      </c>
      <c r="E49" s="27">
        <f>'Box Consensus'!Q61/'Box Consensus'!Z61</f>
        <v>0.21584493288737885</v>
      </c>
      <c r="P49" s="2" t="s">
        <v>225</v>
      </c>
    </row>
    <row r="50" spans="2:16" ht="13.95" customHeight="1" x14ac:dyDescent="0.3">
      <c r="B50" s="8" t="s">
        <v>226</v>
      </c>
      <c r="F50" s="27">
        <f t="shared" ref="F50:N50" si="12">IFERROR(F38/(1-F48),"")</f>
        <v>0.61474012723658455</v>
      </c>
      <c r="G50" s="27">
        <f t="shared" si="12"/>
        <v>0.66274192763507267</v>
      </c>
      <c r="H50" s="27">
        <f t="shared" si="12"/>
        <v>0.7306928000825319</v>
      </c>
      <c r="I50" s="27">
        <f t="shared" si="12"/>
        <v>0.83417863340798148</v>
      </c>
      <c r="J50" s="27">
        <f t="shared" si="12"/>
        <v>1.0107326078918264</v>
      </c>
      <c r="K50" s="27">
        <f t="shared" si="12"/>
        <v>1.3794544933382595</v>
      </c>
      <c r="L50" s="27">
        <f t="shared" si="12"/>
        <v>2.6261680056566745</v>
      </c>
      <c r="M50" s="27">
        <f t="shared" si="12"/>
        <v>2.6261680056566745</v>
      </c>
      <c r="N50" s="27">
        <f t="shared" si="12"/>
        <v>2.6261680056566874</v>
      </c>
      <c r="P50" s="2" t="s">
        <v>227</v>
      </c>
    </row>
    <row r="52" spans="2:16" ht="13.95" customHeight="1" x14ac:dyDescent="0.3">
      <c r="B52" s="43" t="s">
        <v>228</v>
      </c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</row>
    <row r="53" spans="2:16" ht="13.95" customHeight="1" x14ac:dyDescent="0.3">
      <c r="B53" s="6" t="s">
        <v>197</v>
      </c>
      <c r="C53" s="7" t="s">
        <v>198</v>
      </c>
      <c r="D53" s="7" t="s">
        <v>199</v>
      </c>
      <c r="E53" s="7" t="s">
        <v>200</v>
      </c>
      <c r="F53" s="7" t="s">
        <v>201</v>
      </c>
      <c r="G53" s="7" t="s">
        <v>202</v>
      </c>
      <c r="H53" s="7" t="s">
        <v>203</v>
      </c>
      <c r="I53" s="7" t="s">
        <v>204</v>
      </c>
      <c r="J53" s="7" t="s">
        <v>205</v>
      </c>
      <c r="K53" s="7" t="s">
        <v>206</v>
      </c>
      <c r="L53" s="7" t="s">
        <v>79</v>
      </c>
      <c r="M53" s="7" t="s">
        <v>207</v>
      </c>
      <c r="N53" s="7" t="s">
        <v>208</v>
      </c>
      <c r="P53" s="7" t="s">
        <v>209</v>
      </c>
    </row>
    <row r="54" spans="2:16" ht="13.95" customHeight="1" x14ac:dyDescent="0.3">
      <c r="B54" s="8" t="s">
        <v>210</v>
      </c>
      <c r="E54" s="26">
        <f>2028-2027</f>
        <v>1</v>
      </c>
      <c r="F54" s="26">
        <f>2029-2027</f>
        <v>2</v>
      </c>
      <c r="G54" s="26">
        <f>2030-2027</f>
        <v>3</v>
      </c>
      <c r="H54" s="26">
        <f>2031-2027</f>
        <v>4</v>
      </c>
      <c r="I54" s="26">
        <f>2032-2027</f>
        <v>5</v>
      </c>
      <c r="J54" s="26">
        <f>2033-2027</f>
        <v>6</v>
      </c>
      <c r="K54" s="26">
        <f>2034-2027</f>
        <v>7</v>
      </c>
      <c r="L54" s="26">
        <f>2035-2027</f>
        <v>8</v>
      </c>
      <c r="M54" s="26">
        <f>2036-2027</f>
        <v>9</v>
      </c>
      <c r="N54" s="26">
        <f>2037-2027</f>
        <v>10</v>
      </c>
    </row>
    <row r="55" spans="2:16" ht="13.95" customHeight="1" x14ac:dyDescent="0.3">
      <c r="B55" s="8" t="s">
        <v>211</v>
      </c>
      <c r="D55" s="27">
        <f>D56/C56-1</f>
        <v>8.2756300123771442E-2</v>
      </c>
      <c r="E55" s="27">
        <f>E56/D56-1</f>
        <v>7.1218339634808725E-2</v>
      </c>
      <c r="F55" s="27">
        <f t="shared" ref="F55:N55" si="13">IF(F54&gt;=NExp,$I$25,$E$55+($I$25-$E$55)*(F54-1)/(NExp-1))</f>
        <v>6.9615719686978911E-2</v>
      </c>
      <c r="G55" s="27">
        <f t="shared" si="13"/>
        <v>6.8013099739149083E-2</v>
      </c>
      <c r="H55" s="27">
        <f t="shared" si="13"/>
        <v>6.6410479791319268E-2</v>
      </c>
      <c r="I55" s="27">
        <f t="shared" si="13"/>
        <v>6.4807859843489454E-2</v>
      </c>
      <c r="J55" s="27">
        <f t="shared" si="13"/>
        <v>6.320523989565964E-2</v>
      </c>
      <c r="K55" s="27">
        <f t="shared" si="13"/>
        <v>6.1602619947829812E-2</v>
      </c>
      <c r="L55" s="27">
        <f t="shared" si="13"/>
        <v>0.06</v>
      </c>
      <c r="M55" s="27">
        <f t="shared" si="13"/>
        <v>0.06</v>
      </c>
      <c r="N55" s="27">
        <f t="shared" si="13"/>
        <v>0.06</v>
      </c>
    </row>
    <row r="56" spans="2:16" ht="13.95" customHeight="1" x14ac:dyDescent="0.3">
      <c r="B56" s="8" t="s">
        <v>212</v>
      </c>
      <c r="C56" s="9">
        <f>'Box Consensus'!F62</f>
        <v>12657.226971408998</v>
      </c>
      <c r="D56" s="9">
        <f>'Box Consensus'!G62</f>
        <v>13704.692245389617</v>
      </c>
      <c r="E56" s="9">
        <f>'Box Consensus'!H62</f>
        <v>14680.717672312305</v>
      </c>
      <c r="F56" s="9">
        <f t="shared" ref="F56:N56" si="14">E56*(1+F55)</f>
        <v>15702.726398591676</v>
      </c>
      <c r="G56" s="9">
        <f t="shared" si="14"/>
        <v>16770.717495315661</v>
      </c>
      <c r="H56" s="9">
        <f t="shared" si="14"/>
        <v>17884.468890624245</v>
      </c>
      <c r="I56" s="9">
        <f t="shared" si="14"/>
        <v>19043.523043863068</v>
      </c>
      <c r="J56" s="9">
        <f t="shared" si="14"/>
        <v>20247.173486308959</v>
      </c>
      <c r="K56" s="9">
        <f t="shared" si="14"/>
        <v>21494.452419603829</v>
      </c>
      <c r="L56" s="9">
        <f t="shared" si="14"/>
        <v>22784.11956478006</v>
      </c>
      <c r="M56" s="9">
        <f t="shared" si="14"/>
        <v>24151.166738666863</v>
      </c>
      <c r="N56" s="9">
        <f t="shared" si="14"/>
        <v>25600.236742986875</v>
      </c>
      <c r="P56" s="2" t="s">
        <v>213</v>
      </c>
    </row>
    <row r="57" spans="2:16" ht="13.95" customHeight="1" x14ac:dyDescent="0.3">
      <c r="B57" s="8" t="s">
        <v>214</v>
      </c>
      <c r="C57" s="27">
        <f>'Box Consensus'!O62/'Box Consensus'!F62</f>
        <v>9.7293632765157859E-2</v>
      </c>
      <c r="D57" s="27">
        <f>'Box Consensus'!P62/'Box Consensus'!G62</f>
        <v>0.10895039616682564</v>
      </c>
      <c r="E57" s="27">
        <f>'Box Consensus'!Q62/'Box Consensus'!H62</f>
        <v>0.12032998455383993</v>
      </c>
      <c r="F57" s="27">
        <f t="shared" ref="F57:N57" si="15">IF(ISNUMBER($D$13),$D$13,$E$57)</f>
        <v>0.12032998455383993</v>
      </c>
      <c r="G57" s="27">
        <f t="shared" si="15"/>
        <v>0.12032998455383993</v>
      </c>
      <c r="H57" s="27">
        <f t="shared" si="15"/>
        <v>0.12032998455383993</v>
      </c>
      <c r="I57" s="27">
        <f t="shared" si="15"/>
        <v>0.12032998455383993</v>
      </c>
      <c r="J57" s="27">
        <f t="shared" si="15"/>
        <v>0.12032998455383993</v>
      </c>
      <c r="K57" s="27">
        <f t="shared" si="15"/>
        <v>0.12032998455383993</v>
      </c>
      <c r="L57" s="27">
        <f t="shared" si="15"/>
        <v>0.12032998455383993</v>
      </c>
      <c r="M57" s="27">
        <f t="shared" si="15"/>
        <v>0.12032998455383993</v>
      </c>
      <c r="N57" s="27">
        <f t="shared" si="15"/>
        <v>0.12032998455383993</v>
      </c>
    </row>
    <row r="58" spans="2:16" ht="13.95" customHeight="1" x14ac:dyDescent="0.3">
      <c r="B58" s="23" t="s">
        <v>215</v>
      </c>
      <c r="C58" s="28">
        <f t="shared" ref="C58:N58" si="16">C56*C57</f>
        <v>1231.4675927815183</v>
      </c>
      <c r="D58" s="28">
        <f t="shared" si="16"/>
        <v>1493.131649479622</v>
      </c>
      <c r="E58" s="28">
        <f t="shared" si="16"/>
        <v>1766.5305307486246</v>
      </c>
      <c r="F58" s="28">
        <f t="shared" si="16"/>
        <v>1889.5088249957109</v>
      </c>
      <c r="G58" s="28">
        <f t="shared" si="16"/>
        <v>2018.0201771681466</v>
      </c>
      <c r="H58" s="28">
        <f t="shared" si="16"/>
        <v>2152.0378653624462</v>
      </c>
      <c r="I58" s="28">
        <f t="shared" si="16"/>
        <v>2291.5068337187377</v>
      </c>
      <c r="J58" s="28">
        <f t="shared" si="16"/>
        <v>2436.3420728664746</v>
      </c>
      <c r="K58" s="28">
        <f t="shared" si="16"/>
        <v>2586.4271276441759</v>
      </c>
      <c r="L58" s="28">
        <f t="shared" si="16"/>
        <v>2741.6127553028268</v>
      </c>
      <c r="M58" s="28">
        <f t="shared" si="16"/>
        <v>2906.1095206209966</v>
      </c>
      <c r="N58" s="28">
        <f t="shared" si="16"/>
        <v>3080.476091858256</v>
      </c>
    </row>
    <row r="59" spans="2:16" ht="13.95" customHeight="1" x14ac:dyDescent="0.3">
      <c r="B59" s="8" t="s">
        <v>216</v>
      </c>
      <c r="C59" s="27">
        <f>('Box Consensus'!I62-'Box Consensus'!L62)/'Box Consensus'!F62</f>
        <v>8.7464844863994903E-2</v>
      </c>
      <c r="D59" s="27">
        <f>('Box Consensus'!J62-'Box Consensus'!M62)/'Box Consensus'!G62</f>
        <v>8.4916203888791716E-2</v>
      </c>
      <c r="E59" s="27">
        <f>('Box Consensus'!K62-'Box Consensus'!N62)/'Box Consensus'!H62</f>
        <v>8.2746171360436299E-2</v>
      </c>
      <c r="F59" s="27">
        <f t="shared" ref="F59:N59" si="17">IF(ISNUMBER($D$15),$D$15,$E$59)</f>
        <v>8.2746171360436299E-2</v>
      </c>
      <c r="G59" s="27">
        <f t="shared" si="17"/>
        <v>8.2746171360436299E-2</v>
      </c>
      <c r="H59" s="27">
        <f t="shared" si="17"/>
        <v>8.2746171360436299E-2</v>
      </c>
      <c r="I59" s="27">
        <f t="shared" si="17"/>
        <v>8.2746171360436299E-2</v>
      </c>
      <c r="J59" s="27">
        <f t="shared" si="17"/>
        <v>8.2746171360436299E-2</v>
      </c>
      <c r="K59" s="27">
        <f t="shared" si="17"/>
        <v>8.2746171360436299E-2</v>
      </c>
      <c r="L59" s="27">
        <f t="shared" si="17"/>
        <v>8.2746171360436299E-2</v>
      </c>
      <c r="M59" s="27">
        <f t="shared" si="17"/>
        <v>8.2746171360436299E-2</v>
      </c>
      <c r="N59" s="27">
        <f t="shared" si="17"/>
        <v>8.2746171360436299E-2</v>
      </c>
    </row>
    <row r="60" spans="2:16" ht="13.95" customHeight="1" x14ac:dyDescent="0.3">
      <c r="B60" s="8" t="s">
        <v>217</v>
      </c>
      <c r="C60" s="9">
        <f t="shared" ref="C60:N60" si="18">C56*C59</f>
        <v>1107.0623934626601</v>
      </c>
      <c r="D60" s="9">
        <f t="shared" si="18"/>
        <v>1163.7504409426474</v>
      </c>
      <c r="E60" s="9">
        <f t="shared" si="18"/>
        <v>1214.7731802073395</v>
      </c>
      <c r="F60" s="9">
        <f t="shared" si="18"/>
        <v>1299.3404894039136</v>
      </c>
      <c r="G60" s="9">
        <f t="shared" si="18"/>
        <v>1387.7126637048568</v>
      </c>
      <c r="H60" s="9">
        <f t="shared" si="18"/>
        <v>1479.8713275139858</v>
      </c>
      <c r="I60" s="9">
        <f t="shared" si="18"/>
        <v>1575.7786210939109</v>
      </c>
      <c r="J60" s="9">
        <f t="shared" si="18"/>
        <v>1675.3760868626036</v>
      </c>
      <c r="K60" s="9">
        <f t="shared" si="18"/>
        <v>1778.5836432112831</v>
      </c>
      <c r="L60" s="9">
        <f t="shared" si="18"/>
        <v>1885.2986618039602</v>
      </c>
      <c r="M60" s="9">
        <f t="shared" si="18"/>
        <v>1998.4165815121978</v>
      </c>
      <c r="N60" s="9">
        <f t="shared" si="18"/>
        <v>2118.3215764029296</v>
      </c>
    </row>
    <row r="61" spans="2:16" ht="13.95" customHeight="1" x14ac:dyDescent="0.3">
      <c r="B61" s="8" t="s">
        <v>218</v>
      </c>
      <c r="C61" s="27">
        <f>-('Box Consensus'!R62+'Box Consensus'!U62)/'Box Consensus'!F62</f>
        <v>0.12485421326571325</v>
      </c>
      <c r="D61" s="27">
        <f>-('Box Consensus'!S62+'Box Consensus'!V62)/'Box Consensus'!G62</f>
        <v>0.11076816328391012</v>
      </c>
      <c r="E61" s="27">
        <f>-('Box Consensus'!T62+'Box Consensus'!W62)/'Box Consensus'!H62</f>
        <v>0.10457347280743431</v>
      </c>
      <c r="F61" s="27">
        <f t="shared" ref="F61:N61" si="19">IF(F54&gt;=NExp,F59*$D$14,$E$61+(F59*$D$14-$E$61)*(F54-1)/(NExp-1))</f>
        <v>0.1014552868864346</v>
      </c>
      <c r="G61" s="27">
        <f t="shared" si="19"/>
        <v>9.8337100965434882E-2</v>
      </c>
      <c r="H61" s="27">
        <f t="shared" si="19"/>
        <v>9.5218915044435165E-2</v>
      </c>
      <c r="I61" s="27">
        <f t="shared" si="19"/>
        <v>9.2100729123435449E-2</v>
      </c>
      <c r="J61" s="27">
        <f t="shared" si="19"/>
        <v>8.8982543202435732E-2</v>
      </c>
      <c r="K61" s="27">
        <f t="shared" si="19"/>
        <v>8.5864357281436016E-2</v>
      </c>
      <c r="L61" s="27">
        <f t="shared" si="19"/>
        <v>8.2746171360436299E-2</v>
      </c>
      <c r="M61" s="27">
        <f t="shared" si="19"/>
        <v>8.2746171360436299E-2</v>
      </c>
      <c r="N61" s="27">
        <f t="shared" si="19"/>
        <v>8.2746171360436299E-2</v>
      </c>
    </row>
    <row r="62" spans="2:16" ht="13.95" customHeight="1" x14ac:dyDescent="0.3">
      <c r="B62" s="8" t="s">
        <v>219</v>
      </c>
      <c r="C62" s="9">
        <f t="shared" ref="C62:N62" si="20">-C56*C61</f>
        <v>-1580.3081156408368</v>
      </c>
      <c r="D62" s="9">
        <f t="shared" si="20"/>
        <v>-1518.0435883930538</v>
      </c>
      <c r="E62" s="9">
        <f t="shared" si="20"/>
        <v>-1535.2136302991712</v>
      </c>
      <c r="F62" s="9">
        <f t="shared" si="20"/>
        <v>-1593.1246116683085</v>
      </c>
      <c r="G62" s="9">
        <f t="shared" si="20"/>
        <v>-1649.1837395996413</v>
      </c>
      <c r="H62" s="9">
        <f t="shared" si="20"/>
        <v>-1702.9397239111936</v>
      </c>
      <c r="I62" s="9">
        <f t="shared" si="20"/>
        <v>-1753.9223574187333</v>
      </c>
      <c r="J62" s="9">
        <f t="shared" si="20"/>
        <v>-1801.6449894726982</v>
      </c>
      <c r="K62" s="9">
        <f t="shared" si="20"/>
        <v>-1845.6073421256901</v>
      </c>
      <c r="L62" s="9">
        <f t="shared" si="20"/>
        <v>-1885.2986618039602</v>
      </c>
      <c r="M62" s="9">
        <f t="shared" si="20"/>
        <v>-1998.4165815121978</v>
      </c>
      <c r="N62" s="9">
        <f t="shared" si="20"/>
        <v>-2118.3215764029296</v>
      </c>
    </row>
    <row r="63" spans="2:16" ht="13.95" customHeight="1" x14ac:dyDescent="0.3">
      <c r="B63" s="8" t="s">
        <v>220</v>
      </c>
      <c r="D63" s="9">
        <f t="shared" ref="D63:N63" si="21">-$C$12*(D56-C56)</f>
        <v>-41.898610959224754</v>
      </c>
      <c r="E63" s="9">
        <f t="shared" si="21"/>
        <v>-39.041017076907522</v>
      </c>
      <c r="F63" s="9">
        <f t="shared" si="21"/>
        <v>-40.880349051174854</v>
      </c>
      <c r="G63" s="9">
        <f t="shared" si="21"/>
        <v>-42.719643868959395</v>
      </c>
      <c r="H63" s="9">
        <f t="shared" si="21"/>
        <v>-44.550055812343345</v>
      </c>
      <c r="I63" s="9">
        <f t="shared" si="21"/>
        <v>-46.362166129552932</v>
      </c>
      <c r="J63" s="9">
        <f t="shared" si="21"/>
        <v>-48.146017697835632</v>
      </c>
      <c r="K63" s="9">
        <f t="shared" si="21"/>
        <v>-49.891157331794822</v>
      </c>
      <c r="L63" s="9">
        <f t="shared" si="21"/>
        <v>-51.586685807049214</v>
      </c>
      <c r="M63" s="9">
        <f t="shared" si="21"/>
        <v>-54.681886955472145</v>
      </c>
      <c r="N63" s="9">
        <f t="shared" si="21"/>
        <v>-57.962800172800492</v>
      </c>
    </row>
    <row r="64" spans="2:16" ht="13.95" customHeight="1" x14ac:dyDescent="0.3">
      <c r="B64" s="23" t="s">
        <v>221</v>
      </c>
      <c r="D64" s="28">
        <f t="shared" ref="D64:N64" si="22">D58+D60+D62+D63</f>
        <v>1096.9398910699908</v>
      </c>
      <c r="E64" s="28">
        <f t="shared" si="22"/>
        <v>1407.0490635798853</v>
      </c>
      <c r="F64" s="28">
        <f t="shared" si="22"/>
        <v>1554.8443536801415</v>
      </c>
      <c r="G64" s="28">
        <f t="shared" si="22"/>
        <v>1713.829457404403</v>
      </c>
      <c r="H64" s="28">
        <f t="shared" si="22"/>
        <v>1884.419413152895</v>
      </c>
      <c r="I64" s="28">
        <f t="shared" si="22"/>
        <v>2067.0009312643624</v>
      </c>
      <c r="J64" s="28">
        <f t="shared" si="22"/>
        <v>2261.9271525585441</v>
      </c>
      <c r="K64" s="28">
        <f t="shared" si="22"/>
        <v>2469.512271397974</v>
      </c>
      <c r="L64" s="28">
        <f t="shared" si="22"/>
        <v>2690.0260694957769</v>
      </c>
      <c r="M64" s="28">
        <f t="shared" si="22"/>
        <v>2851.4276336655244</v>
      </c>
      <c r="N64" s="28">
        <f t="shared" si="22"/>
        <v>3022.5132916854559</v>
      </c>
      <c r="P64" s="2" t="s">
        <v>222</v>
      </c>
    </row>
    <row r="65" spans="2:16" ht="13.95" customHeight="1" x14ac:dyDescent="0.3">
      <c r="B65" s="8" t="s">
        <v>223</v>
      </c>
      <c r="D65" s="27">
        <f t="shared" ref="D65:N65" si="23">D64/D58</f>
        <v>0.734657182742252</v>
      </c>
      <c r="E65" s="27">
        <f t="shared" si="23"/>
        <v>0.79650424325448976</v>
      </c>
      <c r="F65" s="27">
        <f t="shared" si="23"/>
        <v>0.82288282177442107</v>
      </c>
      <c r="G65" s="27">
        <f t="shared" si="23"/>
        <v>0.8492627956819494</v>
      </c>
      <c r="H65" s="27">
        <f t="shared" si="23"/>
        <v>0.87564417126811156</v>
      </c>
      <c r="I65" s="27">
        <f t="shared" si="23"/>
        <v>0.90202695486181939</v>
      </c>
      <c r="J65" s="27">
        <f t="shared" si="23"/>
        <v>0.92841115283014308</v>
      </c>
      <c r="K65" s="27">
        <f t="shared" si="23"/>
        <v>0.95479677157860121</v>
      </c>
      <c r="L65" s="27">
        <f t="shared" si="23"/>
        <v>0.98118381755145001</v>
      </c>
      <c r="M65" s="27">
        <f t="shared" si="23"/>
        <v>0.98118381755145023</v>
      </c>
      <c r="N65" s="27">
        <f t="shared" si="23"/>
        <v>0.98118381755145034</v>
      </c>
    </row>
    <row r="66" spans="2:16" ht="13.95" customHeight="1" x14ac:dyDescent="0.3">
      <c r="B66" s="8" t="s">
        <v>224</v>
      </c>
      <c r="C66" s="27">
        <f>'Box Consensus'!O62/'Box Consensus'!X62</f>
        <v>0.13140243410295893</v>
      </c>
      <c r="D66" s="27">
        <f>'Box Consensus'!P62/'Box Consensus'!Y62</f>
        <v>0.14802716008082092</v>
      </c>
      <c r="E66" s="27">
        <f>'Box Consensus'!Q62/'Box Consensus'!Z62</f>
        <v>0.17023515152926791</v>
      </c>
      <c r="P66" s="2" t="s">
        <v>225</v>
      </c>
    </row>
    <row r="67" spans="2:16" ht="13.95" customHeight="1" x14ac:dyDescent="0.3">
      <c r="B67" s="8" t="s">
        <v>226</v>
      </c>
      <c r="F67" s="27">
        <f t="shared" ref="F67:N67" si="24">IFERROR(F55/(1-F65),"")</f>
        <v>0.39304894299024656</v>
      </c>
      <c r="G67" s="27">
        <f t="shared" si="24"/>
        <v>0.45120313891216701</v>
      </c>
      <c r="H67" s="27">
        <f t="shared" si="24"/>
        <v>0.53403592311302495</v>
      </c>
      <c r="I67" s="27">
        <f t="shared" si="24"/>
        <v>0.6614866339214508</v>
      </c>
      <c r="J67" s="27">
        <f t="shared" si="24"/>
        <v>0.88289227155305738</v>
      </c>
      <c r="K67" s="27">
        <f t="shared" si="24"/>
        <v>1.3627924840577914</v>
      </c>
      <c r="L67" s="27">
        <f t="shared" si="24"/>
        <v>3.1887445906767189</v>
      </c>
      <c r="M67" s="27">
        <f t="shared" si="24"/>
        <v>3.1887445906767566</v>
      </c>
      <c r="N67" s="27">
        <f t="shared" si="24"/>
        <v>3.1887445906767753</v>
      </c>
      <c r="P67" s="2" t="s">
        <v>227</v>
      </c>
    </row>
    <row r="69" spans="2:16" ht="13.95" customHeight="1" x14ac:dyDescent="0.3">
      <c r="B69" s="43" t="s">
        <v>229</v>
      </c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</row>
    <row r="70" spans="2:16" ht="13.95" customHeight="1" x14ac:dyDescent="0.3">
      <c r="B70" s="6" t="s">
        <v>136</v>
      </c>
      <c r="C70" s="7" t="s">
        <v>184</v>
      </c>
      <c r="D70" s="7" t="s">
        <v>185</v>
      </c>
      <c r="E70" s="7" t="s">
        <v>186</v>
      </c>
      <c r="P70" s="7" t="s">
        <v>187</v>
      </c>
    </row>
    <row r="71" spans="2:16" ht="13.95" customHeight="1" x14ac:dyDescent="0.3">
      <c r="B71" s="8" t="s">
        <v>230</v>
      </c>
      <c r="C71" s="29">
        <v>-0.2</v>
      </c>
      <c r="D71" s="29">
        <v>0</v>
      </c>
      <c r="E71" s="29">
        <v>0.2</v>
      </c>
      <c r="P71" s="2" t="s">
        <v>231</v>
      </c>
    </row>
    <row r="72" spans="2:16" ht="13.95" customHeight="1" x14ac:dyDescent="0.3">
      <c r="B72" s="8" t="s">
        <v>232</v>
      </c>
      <c r="C72" s="30">
        <f>$C$11*C$71</f>
        <v>-3.0171612298320001E-2</v>
      </c>
      <c r="D72" s="30">
        <f>$C$11*D$71</f>
        <v>0</v>
      </c>
      <c r="E72" s="30">
        <f>$C$11*E$71</f>
        <v>3.0171612298320001E-2</v>
      </c>
    </row>
    <row r="73" spans="2:16" ht="13.95" customHeight="1" x14ac:dyDescent="0.3">
      <c r="B73" s="8" t="s">
        <v>233</v>
      </c>
      <c r="C73" s="9">
        <f>SUMPRODUCT($E$47:$N$47,--($E$37:$N$37&lt;=NExp),1/(1+C32)^$E$37:$N$37)+C72*SUMPRODUCT($E$41:$N$41,--($E$37:$N$37&lt;=NExp),1/(1+C32)^$E$37:$N$37)</f>
        <v>3192.7588471073559</v>
      </c>
      <c r="D73" s="9">
        <f>SUMPRODUCT($E$47:$N$47,--($E$37:$N$37&lt;=NExp),1/(1+D32)^$E$37:$N$37)+D72*SUMPRODUCT($E$41:$N$41,--($E$37:$N$37&lt;=NExp),1/(1+D32)^$E$37:$N$37)</f>
        <v>3363.1146289433291</v>
      </c>
      <c r="E73" s="9">
        <f>SUMPRODUCT($E$47:$N$47,--($E$37:$N$37&lt;=NExp),1/(1+E32)^$E$37:$N$37)+E72*SUMPRODUCT($E$41:$N$41,--($E$37:$N$37&lt;=NExp),1/(1+E32)^$E$37:$N$37)</f>
        <v>3521.9290088229468</v>
      </c>
    </row>
    <row r="74" spans="2:16" ht="13.95" customHeight="1" x14ac:dyDescent="0.3">
      <c r="B74" s="8" t="s">
        <v>234</v>
      </c>
      <c r="C74" s="9">
        <f>(INDEX($E$47:$N$47,NExp)+C72*INDEX($E$41:$N$41,NExp))*(1+$H$25)/(C32-$H$25)/(1+C32)^(NExp+TVx)</f>
        <v>9187.5387102354362</v>
      </c>
      <c r="D74" s="9">
        <f>(INDEX($E$47:$N$47,NExp)+D72*INDEX($E$41:$N$41,NExp))*(1+$H$25)/(D32-$H$25)/(1+D32)^(NExp+TVx)</f>
        <v>10715.127124475037</v>
      </c>
      <c r="E74" s="9">
        <f>(INDEX($E$47:$N$47,NExp)+E72*INDEX($E$41:$N$41,NExp))*(1+$H$25)/(E32-$H$25)/(1+E32)^(NExp+TVx)</f>
        <v>12141.004580160017</v>
      </c>
      <c r="P74" s="2" t="s">
        <v>235</v>
      </c>
    </row>
    <row r="75" spans="2:16" ht="13.95" customHeight="1" x14ac:dyDescent="0.3">
      <c r="B75" s="23" t="s">
        <v>236</v>
      </c>
      <c r="C75" s="28">
        <f>C73+C74</f>
        <v>12380.297557342792</v>
      </c>
      <c r="D75" s="28">
        <f>D73+D74</f>
        <v>14078.241753418366</v>
      </c>
      <c r="E75" s="28">
        <f>E73+E74</f>
        <v>15662.933588982964</v>
      </c>
    </row>
    <row r="76" spans="2:16" ht="13.95" customHeight="1" x14ac:dyDescent="0.3">
      <c r="B76" s="23" t="s">
        <v>237</v>
      </c>
      <c r="C76" s="31">
        <f>C75/$C$7-1</f>
        <v>0.21321286668151473</v>
      </c>
      <c r="D76" s="31">
        <f>D75/$C$7-1</f>
        <v>0.37960367724521671</v>
      </c>
      <c r="E76" s="31">
        <f>E75/$C$7-1</f>
        <v>0.53489627144395935</v>
      </c>
    </row>
    <row r="78" spans="2:16" ht="13.95" customHeight="1" x14ac:dyDescent="0.3">
      <c r="B78" s="8" t="s">
        <v>238</v>
      </c>
      <c r="C78" s="30">
        <f>$D$11*C$71</f>
        <v>-0.35850185701272003</v>
      </c>
      <c r="D78" s="30">
        <f>$D$11*D$71</f>
        <v>0</v>
      </c>
      <c r="E78" s="30">
        <f>$D$11*E$71</f>
        <v>0.35850185701272003</v>
      </c>
    </row>
    <row r="79" spans="2:16" ht="13.95" customHeight="1" x14ac:dyDescent="0.3">
      <c r="B79" s="8" t="s">
        <v>239</v>
      </c>
      <c r="C79" s="9">
        <f>SUMPRODUCT($E$64:$N$64,--($E$54:$N$54&lt;=NExp),1/(1+C33)^$E$54:$N$54)+C78*SUMPRODUCT($E$58:$N$58,--($E$54:$N$54&lt;=NExp),1/(1+C33)^$E$54:$N$54)</f>
        <v>4474.6603799984896</v>
      </c>
      <c r="D79" s="9">
        <f>SUMPRODUCT($E$64:$N$64,--($E$54:$N$54&lt;=NExp),1/(1+D33)^$E$54:$N$54)+D78*SUMPRODUCT($E$58:$N$58,--($E$54:$N$54&lt;=NExp),1/(1+D33)^$E$54:$N$54)</f>
        <v>7989.5019696553245</v>
      </c>
      <c r="E79" s="9">
        <f>SUMPRODUCT($E$64:$N$64,--($E$54:$N$54&lt;=NExp),1/(1+E33)^$E$54:$N$54)+E78*SUMPRODUCT($E$58:$N$58,--($E$54:$N$54&lt;=NExp),1/(1+E33)^$E$54:$N$54)</f>
        <v>11699.11372102741</v>
      </c>
    </row>
    <row r="80" spans="2:16" ht="13.95" customHeight="1" x14ac:dyDescent="0.3">
      <c r="B80" s="8" t="s">
        <v>240</v>
      </c>
      <c r="C80" s="9">
        <f>(INDEX($E$64:$N$64,NExp)+C78*INDEX($E$58:$N$58,NExp))*(1+$I$25)/(C33-$I$25)/(1+C33)^(NExp+TVx)</f>
        <v>4068.7330102829123</v>
      </c>
      <c r="D80" s="9">
        <f>(INDEX($E$64:$N$64,NExp)+D78*INDEX($E$58:$N$58,NExp))*(1+$I$25)/(D33-$I$25)/(1+D33)^(NExp+TVx)</f>
        <v>8098.4486706227099</v>
      </c>
      <c r="E80" s="9">
        <f>(INDEX($E$64:$N$64,NExp)+E78*INDEX($E$58:$N$58,NExp))*(1+$I$25)/(E33-$I$25)/(1+E33)^(NExp+TVx)</f>
        <v>13268.646866985604</v>
      </c>
      <c r="P80" s="2" t="s">
        <v>235</v>
      </c>
    </row>
    <row r="81" spans="2:16" ht="13.95" customHeight="1" x14ac:dyDescent="0.3">
      <c r="B81" s="23" t="s">
        <v>241</v>
      </c>
      <c r="C81" s="28">
        <f>C79+C80</f>
        <v>8543.3933902814024</v>
      </c>
      <c r="D81" s="28">
        <f>D79+D80</f>
        <v>16087.950640278035</v>
      </c>
      <c r="E81" s="28">
        <f>E79+E80</f>
        <v>24967.760588013014</v>
      </c>
    </row>
    <row r="82" spans="2:16" ht="13.95" customHeight="1" x14ac:dyDescent="0.3">
      <c r="B82" s="23" t="s">
        <v>242</v>
      </c>
      <c r="C82" s="31">
        <f>C81/$D$7-1</f>
        <v>-0.4682486539407319</v>
      </c>
      <c r="D82" s="31">
        <f>D81/$D$7-1</f>
        <v>1.3338983119366432E-3</v>
      </c>
      <c r="E82" s="31">
        <f>E81/$D$7-1</f>
        <v>0.55402422600185997</v>
      </c>
    </row>
    <row r="84" spans="2:16" ht="13.95" customHeight="1" x14ac:dyDescent="0.3">
      <c r="B84" s="23" t="s">
        <v>243</v>
      </c>
      <c r="C84" s="28">
        <f>C75+C81</f>
        <v>20923.690947624193</v>
      </c>
      <c r="D84" s="28">
        <f>D75+D81</f>
        <v>30166.192393696401</v>
      </c>
      <c r="E84" s="28">
        <f>E75+E81</f>
        <v>40630.694176995981</v>
      </c>
    </row>
    <row r="85" spans="2:16" ht="13.95" customHeight="1" x14ac:dyDescent="0.3">
      <c r="B85" s="23" t="s">
        <v>244</v>
      </c>
      <c r="C85" s="31">
        <f>C84/($C$7+$D$7)-1</f>
        <v>-0.20354643921681492</v>
      </c>
      <c r="D85" s="31">
        <f>D84/($C$7+$D$7)-1</f>
        <v>0.1482664032541634</v>
      </c>
      <c r="E85" s="31">
        <f>E84/($C$7+$D$7)-1</f>
        <v>0.54659429521135627</v>
      </c>
    </row>
    <row r="86" spans="2:16" ht="13.95" customHeight="1" x14ac:dyDescent="0.3">
      <c r="B86" s="8" t="s">
        <v>245</v>
      </c>
      <c r="C86" s="32">
        <v>-0.58109999999999995</v>
      </c>
      <c r="D86" s="32">
        <v>-0.2218</v>
      </c>
      <c r="E86" s="32">
        <v>0.23169999999999999</v>
      </c>
      <c r="P86" s="2" t="s">
        <v>246</v>
      </c>
    </row>
    <row r="87" spans="2:16" ht="13.95" customHeight="1" x14ac:dyDescent="0.3">
      <c r="B87" s="8" t="s">
        <v>247</v>
      </c>
      <c r="C87" s="32">
        <v>0.02</v>
      </c>
      <c r="D87" s="32">
        <v>0.4</v>
      </c>
      <c r="E87" s="32">
        <v>0.85</v>
      </c>
      <c r="P87" s="2" t="s">
        <v>248</v>
      </c>
    </row>
    <row r="89" spans="2:16" ht="13.95" customHeight="1" x14ac:dyDescent="0.3">
      <c r="B89" s="43" t="s">
        <v>249</v>
      </c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</row>
    <row r="90" spans="2:16" ht="13.95" customHeight="1" x14ac:dyDescent="0.3">
      <c r="B90" s="16" t="s">
        <v>250</v>
      </c>
      <c r="P90" s="2" t="s">
        <v>251</v>
      </c>
    </row>
    <row r="91" spans="2:16" ht="13.95" customHeight="1" x14ac:dyDescent="0.3">
      <c r="B91" s="16" t="s">
        <v>252</v>
      </c>
      <c r="P91" s="2" t="s">
        <v>253</v>
      </c>
    </row>
    <row r="92" spans="2:16" ht="13.95" customHeight="1" x14ac:dyDescent="0.3">
      <c r="B92" s="16" t="s">
        <v>254</v>
      </c>
      <c r="P92" s="2" t="s">
        <v>255</v>
      </c>
    </row>
    <row r="93" spans="2:16" ht="13.95" customHeight="1" x14ac:dyDescent="0.3">
      <c r="B93" s="16" t="s">
        <v>256</v>
      </c>
      <c r="P93" s="2" t="s">
        <v>257</v>
      </c>
    </row>
    <row r="94" spans="2:16" ht="13.95" customHeight="1" x14ac:dyDescent="0.3">
      <c r="B94" s="16" t="s">
        <v>258</v>
      </c>
      <c r="P94" s="2" t="s">
        <v>259</v>
      </c>
    </row>
    <row r="95" spans="2:16" ht="13.95" customHeight="1" x14ac:dyDescent="0.3">
      <c r="B95" s="16" t="s">
        <v>260</v>
      </c>
      <c r="P95" s="2" t="s">
        <v>261</v>
      </c>
    </row>
    <row r="96" spans="2:16" ht="13.95" customHeight="1" x14ac:dyDescent="0.3">
      <c r="B96" s="16" t="s">
        <v>262</v>
      </c>
      <c r="P96" s="2" t="s">
        <v>263</v>
      </c>
    </row>
  </sheetData>
  <mergeCells count="7">
    <mergeCell ref="B69:P69"/>
    <mergeCell ref="B89:P89"/>
    <mergeCell ref="B5:P5"/>
    <mergeCell ref="B19:P19"/>
    <mergeCell ref="B27:P27"/>
    <mergeCell ref="B35:P35"/>
    <mergeCell ref="B52:P52"/>
  </mergeCells>
  <conditionalFormatting sqref="E37:N37">
    <cfRule type="expression" dxfId="1" priority="1">
      <formula>E$37&gt;NExp</formula>
    </cfRule>
  </conditionalFormatting>
  <conditionalFormatting sqref="E54:N54">
    <cfRule type="expression" dxfId="0" priority="2">
      <formula>E$54&gt;NExp</formula>
    </cfRule>
  </conditionalFormatting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Z66"/>
  <sheetViews>
    <sheetView showGridLines="0" zoomScale="85" zoomScaleNormal="85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RowHeight="13.95" customHeight="1" x14ac:dyDescent="0.3"/>
  <cols>
    <col min="1" max="1" width="2.6640625" customWidth="1"/>
    <col min="2" max="2" width="30.6640625" customWidth="1"/>
    <col min="3" max="3" width="22.6640625" customWidth="1"/>
    <col min="4" max="25" width="10.33203125" customWidth="1"/>
  </cols>
  <sheetData>
    <row r="1" spans="2:26" ht="30" customHeight="1" x14ac:dyDescent="0.3">
      <c r="B1" s="1" t="s">
        <v>0</v>
      </c>
    </row>
    <row r="2" spans="2:26" ht="13.95" customHeight="1" x14ac:dyDescent="0.3">
      <c r="B2" s="2" t="s">
        <v>1</v>
      </c>
    </row>
    <row r="3" spans="2:26" ht="13.95" customHeight="1" x14ac:dyDescent="0.3">
      <c r="B3" s="2" t="s">
        <v>2</v>
      </c>
      <c r="C3" s="3" t="s">
        <v>3</v>
      </c>
      <c r="D3" s="4" t="s">
        <v>4</v>
      </c>
      <c r="E3" s="5" t="s">
        <v>5</v>
      </c>
    </row>
    <row r="4" spans="2:26" ht="13.95" customHeight="1" x14ac:dyDescent="0.3">
      <c r="B4" s="16" t="s">
        <v>6</v>
      </c>
      <c r="D4" s="10">
        <v>0.72744691461718158</v>
      </c>
      <c r="E4" s="2" t="s">
        <v>7</v>
      </c>
    </row>
    <row r="7" spans="2:26" ht="13.95" customHeight="1" x14ac:dyDescent="0.3">
      <c r="B7" s="43" t="s">
        <v>8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2:26" ht="43.95" customHeight="1" x14ac:dyDescent="0.3">
      <c r="B8" s="6" t="s">
        <v>9</v>
      </c>
      <c r="C8" s="7" t="s">
        <v>10</v>
      </c>
      <c r="D8" s="7" t="s">
        <v>11</v>
      </c>
      <c r="E8" s="7" t="s">
        <v>12</v>
      </c>
      <c r="F8" s="7" t="s">
        <v>13</v>
      </c>
      <c r="G8" s="7" t="s">
        <v>14</v>
      </c>
      <c r="H8" s="7" t="s">
        <v>15</v>
      </c>
      <c r="I8" s="7" t="s">
        <v>16</v>
      </c>
      <c r="J8" s="7" t="s">
        <v>17</v>
      </c>
      <c r="K8" s="7" t="s">
        <v>18</v>
      </c>
      <c r="L8" s="7" t="s">
        <v>19</v>
      </c>
      <c r="M8" s="7" t="s">
        <v>20</v>
      </c>
      <c r="N8" s="7" t="s">
        <v>21</v>
      </c>
      <c r="O8" s="7" t="s">
        <v>22</v>
      </c>
      <c r="P8" s="7" t="s">
        <v>23</v>
      </c>
      <c r="Q8" s="7" t="s">
        <v>24</v>
      </c>
      <c r="R8" s="7" t="s">
        <v>25</v>
      </c>
      <c r="S8" s="7" t="s">
        <v>26</v>
      </c>
      <c r="T8" s="7" t="s">
        <v>27</v>
      </c>
      <c r="U8" s="7" t="s">
        <v>28</v>
      </c>
      <c r="V8" s="7" t="s">
        <v>29</v>
      </c>
      <c r="W8" s="7" t="s">
        <v>30</v>
      </c>
      <c r="X8" s="7" t="s">
        <v>31</v>
      </c>
      <c r="Y8" s="7" t="s">
        <v>32</v>
      </c>
      <c r="Z8" s="7" t="s">
        <v>33</v>
      </c>
    </row>
    <row r="9" spans="2:26" ht="13.95" customHeight="1" x14ac:dyDescent="0.3">
      <c r="B9" s="16" t="s">
        <v>34</v>
      </c>
      <c r="C9" s="16" t="s">
        <v>35</v>
      </c>
      <c r="D9" s="33">
        <v>5386.722224352483</v>
      </c>
      <c r="E9" s="34">
        <f>D9/215196.49375746</f>
        <v>2.503164494131423E-2</v>
      </c>
      <c r="F9" s="35">
        <v>41713.1875</v>
      </c>
      <c r="G9" s="35">
        <v>48520.5</v>
      </c>
      <c r="H9" s="35">
        <v>56448.21428571429</v>
      </c>
      <c r="I9" s="35">
        <v>9170.4666666666653</v>
      </c>
      <c r="J9" s="35">
        <v>10852.26666666667</v>
      </c>
      <c r="K9" s="35">
        <v>12863.5</v>
      </c>
      <c r="L9" s="35">
        <v>8084.6</v>
      </c>
      <c r="M9" s="35">
        <v>9588.0666666666657</v>
      </c>
      <c r="N9" s="35">
        <v>11394.533333333329</v>
      </c>
      <c r="O9" s="35">
        <v>6440.25</v>
      </c>
      <c r="P9" s="35">
        <v>7619.5</v>
      </c>
      <c r="Q9" s="35">
        <v>8928.143</v>
      </c>
      <c r="R9" s="35">
        <v>-3553</v>
      </c>
      <c r="S9" s="35">
        <v>-3328</v>
      </c>
      <c r="T9" s="35">
        <v>-3328.1111111111109</v>
      </c>
      <c r="U9" s="35">
        <v>0</v>
      </c>
      <c r="V9" s="35">
        <v>0</v>
      </c>
      <c r="W9" s="35">
        <v>0</v>
      </c>
      <c r="X9" s="36">
        <v>0.3417</v>
      </c>
      <c r="Y9" s="36">
        <v>0.32072000000000001</v>
      </c>
      <c r="Z9" s="36">
        <v>0.31405</v>
      </c>
    </row>
    <row r="10" spans="2:26" ht="13.95" customHeight="1" x14ac:dyDescent="0.3">
      <c r="B10" s="16" t="s">
        <v>36</v>
      </c>
      <c r="C10" s="16" t="s">
        <v>35</v>
      </c>
      <c r="D10" s="33">
        <v>4817.8328849305708</v>
      </c>
      <c r="E10" s="34">
        <f>D10/66153.14703096</f>
        <v>7.2828476061400402E-2</v>
      </c>
      <c r="F10" s="35">
        <v>44422.538461538461</v>
      </c>
      <c r="G10" s="35">
        <v>49697.916666666657</v>
      </c>
      <c r="H10" s="35">
        <v>55109.090909090912</v>
      </c>
      <c r="I10" s="35">
        <v>5802.583333333333</v>
      </c>
      <c r="J10" s="35">
        <v>6596.083333333333</v>
      </c>
      <c r="K10" s="35">
        <v>7501.454545454545</v>
      </c>
      <c r="L10" s="35">
        <v>4537.666666666667</v>
      </c>
      <c r="M10" s="35">
        <v>5299.75</v>
      </c>
      <c r="N10" s="35">
        <v>6049.272727272727</v>
      </c>
      <c r="O10" s="35">
        <v>2943.462</v>
      </c>
      <c r="P10" s="35">
        <v>3584.4549999999999</v>
      </c>
      <c r="Q10" s="35">
        <v>4315.3999999999996</v>
      </c>
      <c r="R10" s="35">
        <v>-1794.666666666667</v>
      </c>
      <c r="S10" s="35">
        <v>-1916.333333333333</v>
      </c>
      <c r="T10" s="35">
        <v>-2050.833333333333</v>
      </c>
      <c r="U10" s="35">
        <v>0</v>
      </c>
      <c r="V10" s="35">
        <v>0</v>
      </c>
      <c r="W10" s="35">
        <v>0</v>
      </c>
      <c r="X10" s="36">
        <v>0.15725</v>
      </c>
      <c r="Y10" s="36">
        <v>0.16950000000000001</v>
      </c>
      <c r="Z10" s="36">
        <v>0.17657999999999999</v>
      </c>
    </row>
    <row r="11" spans="2:26" ht="13.95" customHeight="1" x14ac:dyDescent="0.3">
      <c r="B11" s="16" t="s">
        <v>37</v>
      </c>
      <c r="C11" s="16" t="s">
        <v>38</v>
      </c>
      <c r="D11" s="33">
        <v>3528.9277012464358</v>
      </c>
      <c r="E11" s="34">
        <f>D11/56927.4969252</f>
        <v>6.1989862401350224E-2</v>
      </c>
      <c r="F11" s="35">
        <v>50013.25</v>
      </c>
      <c r="G11" s="35">
        <v>53487.75</v>
      </c>
      <c r="H11" s="35">
        <v>57020.166666666657</v>
      </c>
      <c r="I11" s="35">
        <v>15815.75</v>
      </c>
      <c r="J11" s="35">
        <v>17033.5</v>
      </c>
      <c r="K11" s="35">
        <v>18414.666666666672</v>
      </c>
      <c r="L11" s="35">
        <v>10127</v>
      </c>
      <c r="M11" s="35">
        <v>10959.09090909091</v>
      </c>
      <c r="N11" s="35">
        <v>12195.63636363636</v>
      </c>
      <c r="O11" s="35">
        <v>4288.8330000000014</v>
      </c>
      <c r="P11" s="35">
        <v>4771.2730000000001</v>
      </c>
      <c r="Q11" s="35">
        <v>5818.4549999999999</v>
      </c>
      <c r="R11" s="35">
        <v>-23848</v>
      </c>
      <c r="S11" s="35">
        <v>-26666.799999999999</v>
      </c>
      <c r="T11" s="35">
        <v>-26482.5</v>
      </c>
      <c r="U11" s="37">
        <f>-R11*FleetRatio</f>
        <v>17348.154019790545</v>
      </c>
      <c r="V11" s="37">
        <f>-S11*FleetRatio</f>
        <v>19398.681382713457</v>
      </c>
      <c r="W11" s="37">
        <f>-T11*FleetRatio</f>
        <v>19264.61291634951</v>
      </c>
      <c r="X11" s="36">
        <v>0.15723000000000001</v>
      </c>
      <c r="Y11" s="36">
        <v>0.16306000000000001</v>
      </c>
      <c r="Z11" s="36">
        <v>0.18642</v>
      </c>
    </row>
    <row r="12" spans="2:26" ht="13.95" customHeight="1" x14ac:dyDescent="0.3">
      <c r="B12" s="16" t="s">
        <v>39</v>
      </c>
      <c r="C12" s="16" t="s">
        <v>38</v>
      </c>
      <c r="D12" s="33">
        <v>1897.6387421825279</v>
      </c>
      <c r="E12" s="34">
        <f>D12/34406.91770067</f>
        <v>5.5152825914004375E-2</v>
      </c>
      <c r="F12" s="35">
        <v>14779.91666666667</v>
      </c>
      <c r="G12" s="35">
        <v>15642.18181818182</v>
      </c>
      <c r="H12" s="35">
        <v>16416.5</v>
      </c>
      <c r="I12" s="35">
        <v>8140.181818181818</v>
      </c>
      <c r="J12" s="35">
        <v>8991.9</v>
      </c>
      <c r="K12" s="35">
        <v>9504.7777777777792</v>
      </c>
      <c r="L12" s="35">
        <v>5803.1</v>
      </c>
      <c r="M12" s="35">
        <v>6618</v>
      </c>
      <c r="N12" s="35">
        <v>6974.8</v>
      </c>
      <c r="O12" s="35">
        <v>1917.7270000000001</v>
      </c>
      <c r="P12" s="35">
        <v>2669.7</v>
      </c>
      <c r="Q12" s="35">
        <v>3229.4</v>
      </c>
      <c r="R12" s="35">
        <v>-5817.666666666667</v>
      </c>
      <c r="S12" s="35">
        <v>-4786.5</v>
      </c>
      <c r="T12" s="35">
        <v>-4930.833333333333</v>
      </c>
      <c r="U12" s="35">
        <v>0</v>
      </c>
      <c r="V12" s="35">
        <v>0</v>
      </c>
      <c r="W12" s="35">
        <v>0</v>
      </c>
      <c r="X12" s="36">
        <v>0.12653</v>
      </c>
      <c r="Y12" s="36">
        <v>0.15812999999999999</v>
      </c>
      <c r="Z12" s="36">
        <v>0.16495000000000001</v>
      </c>
    </row>
    <row r="13" spans="2:26" ht="13.95" customHeight="1" x14ac:dyDescent="0.3">
      <c r="B13" s="16" t="s">
        <v>40</v>
      </c>
      <c r="C13" s="16" t="s">
        <v>38</v>
      </c>
      <c r="D13" s="33">
        <v>1406.9784385779219</v>
      </c>
      <c r="E13" s="34">
        <f>D13/39895</f>
        <v>3.5267036936406114E-2</v>
      </c>
      <c r="F13" s="35">
        <v>18179.28571428571</v>
      </c>
      <c r="G13" s="35">
        <v>19255</v>
      </c>
      <c r="H13" s="35">
        <v>21238.666666666672</v>
      </c>
      <c r="I13" s="35">
        <v>10278.111111111109</v>
      </c>
      <c r="J13" s="35">
        <v>11125.222222222221</v>
      </c>
      <c r="K13" s="35">
        <v>12640.571428571429</v>
      </c>
      <c r="L13" s="35">
        <v>7972.1111111111104</v>
      </c>
      <c r="M13" s="35">
        <v>8459.8888888888887</v>
      </c>
      <c r="N13" s="35">
        <v>9510.75</v>
      </c>
      <c r="O13" s="35">
        <v>2759.5</v>
      </c>
      <c r="P13" s="35">
        <v>2858.556</v>
      </c>
      <c r="Q13" s="35">
        <v>3504.4290000000001</v>
      </c>
      <c r="R13" s="35">
        <v>-9351</v>
      </c>
      <c r="S13" s="35">
        <v>-7625</v>
      </c>
      <c r="T13" s="35">
        <v>-8095</v>
      </c>
      <c r="U13" s="35">
        <v>0</v>
      </c>
      <c r="V13" s="35">
        <v>0</v>
      </c>
      <c r="W13" s="35">
        <v>0</v>
      </c>
      <c r="X13" s="36">
        <v>0.14718000000000001</v>
      </c>
      <c r="Y13" s="36">
        <v>0.14652000000000001</v>
      </c>
      <c r="Z13" s="36">
        <v>0.17485000000000001</v>
      </c>
    </row>
    <row r="14" spans="2:26" ht="13.95" customHeight="1" x14ac:dyDescent="0.3">
      <c r="B14" s="16" t="s">
        <v>41</v>
      </c>
      <c r="C14" s="16" t="s">
        <v>38</v>
      </c>
      <c r="D14" s="33">
        <v>1378.3571076008111</v>
      </c>
      <c r="E14" s="34">
        <f>D14/23568.47016492</f>
        <v>5.8483096185530027E-2</v>
      </c>
      <c r="F14" s="35">
        <v>7675.8461538461543</v>
      </c>
      <c r="G14" s="35">
        <v>8856.5</v>
      </c>
      <c r="H14" s="35">
        <v>9997.75</v>
      </c>
      <c r="I14" s="35">
        <v>2001.909090909091</v>
      </c>
      <c r="J14" s="35">
        <v>2357.083333333333</v>
      </c>
      <c r="K14" s="35">
        <v>2763.7142857142858</v>
      </c>
      <c r="L14" s="35">
        <v>1487.2</v>
      </c>
      <c r="M14" s="35">
        <v>1881.818181818182</v>
      </c>
      <c r="N14" s="35">
        <v>2259.5</v>
      </c>
      <c r="O14" s="35">
        <v>1078</v>
      </c>
      <c r="P14" s="35">
        <v>1223.182</v>
      </c>
      <c r="Q14" s="35">
        <v>1570.5</v>
      </c>
      <c r="R14" s="35">
        <v>-393.33333333333331</v>
      </c>
      <c r="S14" s="35">
        <v>-432.33333333333331</v>
      </c>
      <c r="T14" s="35">
        <v>-473.66666666666669</v>
      </c>
      <c r="U14" s="35">
        <v>0</v>
      </c>
      <c r="V14" s="35">
        <v>0</v>
      </c>
      <c r="W14" s="35">
        <v>0</v>
      </c>
      <c r="X14" s="36">
        <v>0.21023</v>
      </c>
      <c r="Y14" s="36">
        <v>0.18546000000000001</v>
      </c>
      <c r="Z14" s="36">
        <v>0.22056999999999999</v>
      </c>
    </row>
    <row r="15" spans="2:26" ht="13.95" customHeight="1" x14ac:dyDescent="0.3">
      <c r="B15" s="16" t="s">
        <v>42</v>
      </c>
      <c r="C15" s="16" t="s">
        <v>38</v>
      </c>
      <c r="D15" s="33">
        <v>1141.495657726939</v>
      </c>
      <c r="E15" s="34">
        <f>D15/17374.42003362</f>
        <v>6.5699784828392102E-2</v>
      </c>
      <c r="F15" s="35">
        <v>2994.875</v>
      </c>
      <c r="G15" s="35">
        <v>3153</v>
      </c>
      <c r="H15" s="35">
        <v>3296</v>
      </c>
      <c r="I15" s="35">
        <v>2219.4</v>
      </c>
      <c r="J15" s="35">
        <v>2344.6</v>
      </c>
      <c r="K15" s="35">
        <v>2453.25</v>
      </c>
      <c r="L15" s="35">
        <v>1619.25</v>
      </c>
      <c r="M15" s="35">
        <v>1754.75</v>
      </c>
      <c r="N15" s="35">
        <v>1841.8571428571429</v>
      </c>
      <c r="O15" s="35">
        <v>916.22199999999998</v>
      </c>
      <c r="P15" s="35">
        <v>960</v>
      </c>
      <c r="Q15" s="35">
        <v>1078.7139999999999</v>
      </c>
      <c r="R15" s="35">
        <v>-331</v>
      </c>
      <c r="S15" s="35">
        <v>-436</v>
      </c>
      <c r="T15" s="35">
        <v>-257</v>
      </c>
      <c r="U15" s="35">
        <v>0</v>
      </c>
      <c r="V15" s="35">
        <v>0</v>
      </c>
      <c r="W15" s="35">
        <v>0</v>
      </c>
      <c r="X15" s="36">
        <v>7.2690000000000005E-2</v>
      </c>
      <c r="Y15" s="36">
        <v>7.893E-2</v>
      </c>
      <c r="Z15" s="36">
        <v>9.3900000000000011E-2</v>
      </c>
    </row>
    <row r="16" spans="2:26" ht="13.95" customHeight="1" x14ac:dyDescent="0.3">
      <c r="B16" s="16" t="s">
        <v>43</v>
      </c>
      <c r="C16" s="16" t="s">
        <v>38</v>
      </c>
      <c r="D16" s="33">
        <v>951.12138973503988</v>
      </c>
      <c r="E16" s="34">
        <f>D16/13521.92962585</f>
        <v>7.0339176142195869E-2</v>
      </c>
      <c r="F16" s="35">
        <v>16650.076923076918</v>
      </c>
      <c r="G16" s="35">
        <v>17782.571428571431</v>
      </c>
      <c r="H16" s="35">
        <v>19255.384615384621</v>
      </c>
      <c r="I16" s="35">
        <v>3261.3</v>
      </c>
      <c r="J16" s="35">
        <v>3505.9</v>
      </c>
      <c r="K16" s="35">
        <v>3808.4</v>
      </c>
      <c r="L16" s="35">
        <v>1955.4666666666669</v>
      </c>
      <c r="M16" s="35">
        <v>2136.333333333333</v>
      </c>
      <c r="N16" s="35">
        <v>2373.0666666666671</v>
      </c>
      <c r="O16" s="35">
        <v>1553.2</v>
      </c>
      <c r="P16" s="35">
        <v>1645</v>
      </c>
      <c r="Q16" s="35">
        <v>1797.143</v>
      </c>
      <c r="R16" s="35">
        <v>-968.44444444444446</v>
      </c>
      <c r="S16" s="35">
        <v>-1016.333333333333</v>
      </c>
      <c r="T16" s="35">
        <v>-1078</v>
      </c>
      <c r="U16" s="35">
        <v>0</v>
      </c>
      <c r="V16" s="35">
        <v>0</v>
      </c>
      <c r="W16" s="35">
        <v>0</v>
      </c>
      <c r="X16" s="36">
        <v>0.14433000000000001</v>
      </c>
      <c r="Y16" s="36">
        <v>0.14791000000000001</v>
      </c>
      <c r="Z16" s="36">
        <v>0.15145</v>
      </c>
    </row>
    <row r="17" spans="2:26" ht="13.95" customHeight="1" x14ac:dyDescent="0.3">
      <c r="B17" s="16" t="s">
        <v>44</v>
      </c>
      <c r="C17" s="16" t="s">
        <v>38</v>
      </c>
      <c r="D17" s="33">
        <v>831.74580920333278</v>
      </c>
      <c r="E17" s="34">
        <f>D17/18807.44964165</f>
        <v>4.4224274160032405E-2</v>
      </c>
      <c r="F17" s="35">
        <v>2912.363636363636</v>
      </c>
      <c r="G17" s="35">
        <v>2769.545454545455</v>
      </c>
      <c r="H17" s="35">
        <v>2903.272727272727</v>
      </c>
      <c r="I17" s="35">
        <v>2158.166666666667</v>
      </c>
      <c r="J17" s="35">
        <v>2094.166666666667</v>
      </c>
      <c r="K17" s="35">
        <v>2243.909090909091</v>
      </c>
      <c r="L17" s="35">
        <v>2057.090909090909</v>
      </c>
      <c r="M17" s="35">
        <v>1940.272727272727</v>
      </c>
      <c r="N17" s="35">
        <v>2066.727272727273</v>
      </c>
      <c r="O17" s="35">
        <v>1249.9090000000001</v>
      </c>
      <c r="P17" s="35">
        <v>1304.182</v>
      </c>
      <c r="Q17" s="35">
        <v>1490</v>
      </c>
      <c r="R17" s="35">
        <v>-358.25</v>
      </c>
      <c r="S17" s="35">
        <v>-317.50125000000003</v>
      </c>
      <c r="T17" s="35">
        <v>-320.6875</v>
      </c>
      <c r="U17" s="35">
        <v>0</v>
      </c>
      <c r="V17" s="35">
        <v>0</v>
      </c>
      <c r="W17" s="35">
        <v>0</v>
      </c>
      <c r="X17" s="36">
        <v>0.18429000000000001</v>
      </c>
      <c r="Y17" s="36">
        <v>0.16650000000000001</v>
      </c>
      <c r="Z17" s="36">
        <v>0.18486</v>
      </c>
    </row>
    <row r="18" spans="2:26" ht="13.95" customHeight="1" x14ac:dyDescent="0.3">
      <c r="B18" s="16" t="s">
        <v>45</v>
      </c>
      <c r="C18" s="16" t="s">
        <v>38</v>
      </c>
      <c r="D18" s="33">
        <v>831.72715196424633</v>
      </c>
      <c r="E18" s="34">
        <f>D18/13764.34071496</f>
        <v>6.0426225213988632E-2</v>
      </c>
      <c r="F18" s="35">
        <v>8963.363636363636</v>
      </c>
      <c r="G18" s="35">
        <v>10786.36363636364</v>
      </c>
      <c r="H18" s="35">
        <v>12481.2</v>
      </c>
      <c r="I18" s="35">
        <v>2917.8</v>
      </c>
      <c r="J18" s="35">
        <v>3546.7</v>
      </c>
      <c r="K18" s="35">
        <v>4144.4444444444443</v>
      </c>
      <c r="L18" s="35">
        <v>1845.636363636364</v>
      </c>
      <c r="M18" s="35">
        <v>2303</v>
      </c>
      <c r="N18" s="35">
        <v>2748</v>
      </c>
      <c r="O18" s="35">
        <v>945.63599999999997</v>
      </c>
      <c r="P18" s="35">
        <v>1245.4549999999999</v>
      </c>
      <c r="Q18" s="35">
        <v>1540</v>
      </c>
      <c r="R18" s="35">
        <v>-2710.5</v>
      </c>
      <c r="S18" s="35">
        <v>-2494.5</v>
      </c>
      <c r="T18" s="35">
        <v>-2363.75</v>
      </c>
      <c r="U18" s="35">
        <v>0</v>
      </c>
      <c r="V18" s="35">
        <v>0</v>
      </c>
      <c r="W18" s="35">
        <v>0</v>
      </c>
      <c r="X18" s="36">
        <v>0.14806</v>
      </c>
      <c r="Y18" s="36">
        <v>0.17757999999999999</v>
      </c>
      <c r="Z18" s="36">
        <v>0.20321</v>
      </c>
    </row>
    <row r="19" spans="2:26" ht="13.95" customHeight="1" x14ac:dyDescent="0.3">
      <c r="B19" s="16" t="s">
        <v>46</v>
      </c>
      <c r="C19" s="16" t="s">
        <v>38</v>
      </c>
      <c r="D19" s="33">
        <v>614.64097637829173</v>
      </c>
      <c r="E19" s="34">
        <f>D19/14967.384</f>
        <v>4.1065357605463433E-2</v>
      </c>
      <c r="F19" s="35">
        <v>10125</v>
      </c>
      <c r="G19" s="35">
        <v>11799.8</v>
      </c>
      <c r="H19" s="35">
        <v>12516.777777777779</v>
      </c>
      <c r="I19" s="35">
        <v>2474.125</v>
      </c>
      <c r="J19" s="35">
        <v>2797.333333333333</v>
      </c>
      <c r="K19" s="35">
        <v>3031.625</v>
      </c>
      <c r="L19" s="35">
        <v>2099.333333333333</v>
      </c>
      <c r="M19" s="35">
        <v>2576.1111111111109</v>
      </c>
      <c r="N19" s="35">
        <v>2830.5555555555552</v>
      </c>
      <c r="O19" s="35">
        <v>1949.1110000000001</v>
      </c>
      <c r="P19" s="35">
        <v>2310.5</v>
      </c>
      <c r="Q19" s="35">
        <v>2554.1109999999999</v>
      </c>
      <c r="R19" s="35">
        <v>-162</v>
      </c>
      <c r="S19" s="35">
        <v>-229</v>
      </c>
      <c r="T19" s="35">
        <v>-235</v>
      </c>
      <c r="U19" s="35">
        <v>0</v>
      </c>
      <c r="V19" s="35">
        <v>0</v>
      </c>
      <c r="W19" s="35">
        <v>0</v>
      </c>
      <c r="X19" s="36">
        <v>0.18201000000000001</v>
      </c>
      <c r="Y19" s="36">
        <v>0.18853</v>
      </c>
      <c r="Z19" s="36">
        <v>0.18665999999999999</v>
      </c>
    </row>
    <row r="20" spans="2:26" ht="13.95" customHeight="1" x14ac:dyDescent="0.3">
      <c r="B20" s="16" t="s">
        <v>47</v>
      </c>
      <c r="C20" s="16" t="s">
        <v>38</v>
      </c>
      <c r="D20" s="33">
        <v>488.82397753510378</v>
      </c>
      <c r="E20" s="34">
        <f>D20/9053.50892735</f>
        <v>5.399276473438952E-2</v>
      </c>
      <c r="F20" s="35">
        <v>1645.5</v>
      </c>
      <c r="G20" s="35">
        <v>1822.75</v>
      </c>
      <c r="H20" s="35">
        <v>2047.5</v>
      </c>
      <c r="I20" s="35">
        <v>1242.5</v>
      </c>
      <c r="J20" s="35">
        <v>1361.5</v>
      </c>
      <c r="K20" s="35">
        <v>1524</v>
      </c>
      <c r="L20" s="35">
        <v>1048.333333333333</v>
      </c>
      <c r="M20" s="35">
        <v>1132.333333333333</v>
      </c>
      <c r="N20" s="35">
        <v>1345</v>
      </c>
      <c r="O20" s="35">
        <v>576.85699999999997</v>
      </c>
      <c r="P20" s="35">
        <v>672.14300000000003</v>
      </c>
      <c r="Q20" s="35">
        <v>778.6</v>
      </c>
      <c r="R20" s="35">
        <v>-512.5</v>
      </c>
      <c r="S20" s="35">
        <v>-343</v>
      </c>
      <c r="T20" s="35">
        <v>-255</v>
      </c>
      <c r="U20" s="35">
        <v>0</v>
      </c>
      <c r="V20" s="35">
        <v>0</v>
      </c>
      <c r="W20" s="35">
        <v>0</v>
      </c>
      <c r="X20" s="36">
        <v>0.11978</v>
      </c>
      <c r="Y20" s="36">
        <v>0.126</v>
      </c>
      <c r="Z20" s="36">
        <v>0.1411</v>
      </c>
    </row>
    <row r="21" spans="2:26" ht="13.95" customHeight="1" x14ac:dyDescent="0.3">
      <c r="B21" s="16" t="s">
        <v>48</v>
      </c>
      <c r="C21" s="16" t="s">
        <v>38</v>
      </c>
      <c r="D21" s="33">
        <v>373.09240518387981</v>
      </c>
      <c r="E21" s="34">
        <f>D21/6048.30181483</f>
        <v>6.1685480752479011E-2</v>
      </c>
      <c r="F21" s="35">
        <v>7984.727272727273</v>
      </c>
      <c r="G21" s="35">
        <v>8404</v>
      </c>
      <c r="H21" s="35">
        <v>8772.2222222222208</v>
      </c>
      <c r="I21" s="35">
        <v>2465.181818181818</v>
      </c>
      <c r="J21" s="35">
        <v>2553.545454545455</v>
      </c>
      <c r="K21" s="35">
        <v>2652.333333333333</v>
      </c>
      <c r="L21" s="35">
        <v>1460.6</v>
      </c>
      <c r="M21" s="35">
        <v>1530.4</v>
      </c>
      <c r="N21" s="35">
        <v>1659</v>
      </c>
      <c r="O21" s="35">
        <v>724.90899999999999</v>
      </c>
      <c r="P21" s="35">
        <v>877.18200000000002</v>
      </c>
      <c r="Q21" s="35">
        <v>978.77800000000002</v>
      </c>
      <c r="R21" s="35">
        <v>-580</v>
      </c>
      <c r="S21" s="35">
        <v>-597.16666666666663</v>
      </c>
      <c r="T21" s="35">
        <v>-580.4</v>
      </c>
      <c r="U21" s="35">
        <v>0</v>
      </c>
      <c r="V21" s="35">
        <v>0</v>
      </c>
      <c r="W21" s="35">
        <v>0</v>
      </c>
      <c r="X21" s="36">
        <v>5.4679999999999999E-2</v>
      </c>
      <c r="Y21" s="36">
        <v>5.5300000000000002E-2</v>
      </c>
      <c r="Z21" s="36">
        <v>0.10335999999999999</v>
      </c>
    </row>
    <row r="22" spans="2:26" ht="13.95" customHeight="1" x14ac:dyDescent="0.3">
      <c r="B22" s="16" t="s">
        <v>49</v>
      </c>
      <c r="C22" s="16" t="s">
        <v>38</v>
      </c>
      <c r="D22" s="33">
        <v>351.67065054086191</v>
      </c>
      <c r="E22" s="34">
        <f>D22/9940.69585838</f>
        <v>3.5376864512397667E-2</v>
      </c>
      <c r="F22" s="35">
        <v>6833.818181818182</v>
      </c>
      <c r="G22" s="35">
        <v>7942.090909090909</v>
      </c>
      <c r="H22" s="35">
        <v>8683.7999999999993</v>
      </c>
      <c r="I22" s="35">
        <v>1644.2</v>
      </c>
      <c r="J22" s="35">
        <v>1920.1</v>
      </c>
      <c r="K22" s="35">
        <v>2066.5555555555561</v>
      </c>
      <c r="L22" s="35">
        <v>1626.1</v>
      </c>
      <c r="M22" s="35">
        <v>1893.3</v>
      </c>
      <c r="N22" s="35">
        <v>2037.2</v>
      </c>
      <c r="O22" s="35">
        <v>1230.182</v>
      </c>
      <c r="P22" s="35">
        <v>1453.9090000000001</v>
      </c>
      <c r="Q22" s="35">
        <v>1584.5</v>
      </c>
      <c r="R22" s="35">
        <v>-54.666666666666657</v>
      </c>
      <c r="S22" s="35">
        <v>-89.466666666666669</v>
      </c>
      <c r="T22" s="35">
        <v>-94.4</v>
      </c>
      <c r="U22" s="35">
        <v>0</v>
      </c>
      <c r="V22" s="35">
        <v>0</v>
      </c>
      <c r="W22" s="35">
        <v>0</v>
      </c>
      <c r="X22" s="36">
        <v>0.79447000000000001</v>
      </c>
      <c r="Y22" s="36">
        <v>0.76168000000000002</v>
      </c>
      <c r="Z22" s="36">
        <v>0.71633999999999998</v>
      </c>
    </row>
    <row r="23" spans="2:26" ht="13.95" customHeight="1" x14ac:dyDescent="0.3">
      <c r="B23" s="16" t="s">
        <v>50</v>
      </c>
      <c r="C23" s="16" t="s">
        <v>38</v>
      </c>
      <c r="D23" s="33">
        <v>268.23831248938302</v>
      </c>
      <c r="E23" s="34">
        <f>D23/6063.825</f>
        <v>4.4235826807235208E-2</v>
      </c>
      <c r="F23" s="35">
        <v>5291.181818181818</v>
      </c>
      <c r="G23" s="35">
        <v>6236.363636363636</v>
      </c>
      <c r="H23" s="35">
        <v>6622.8</v>
      </c>
      <c r="I23" s="35">
        <v>1398.9</v>
      </c>
      <c r="J23" s="35">
        <v>1624.6</v>
      </c>
      <c r="K23" s="35">
        <v>1709.333333333333</v>
      </c>
      <c r="L23" s="35">
        <v>1275.3</v>
      </c>
      <c r="M23" s="35">
        <v>1497.1</v>
      </c>
      <c r="N23" s="35">
        <v>1584.9</v>
      </c>
      <c r="O23" s="35">
        <v>919.81799999999998</v>
      </c>
      <c r="P23" s="35">
        <v>1113.364</v>
      </c>
      <c r="Q23" s="35">
        <v>1200</v>
      </c>
      <c r="R23" s="35">
        <v>-115.8</v>
      </c>
      <c r="S23" s="35">
        <v>-122.5</v>
      </c>
      <c r="T23" s="35">
        <v>-128.75</v>
      </c>
      <c r="U23" s="35">
        <v>0</v>
      </c>
      <c r="V23" s="35">
        <v>0</v>
      </c>
      <c r="W23" s="35">
        <v>0</v>
      </c>
      <c r="X23" s="36">
        <v>0.40788999999999997</v>
      </c>
      <c r="Y23" s="36">
        <v>0.39338000000000001</v>
      </c>
      <c r="Z23" s="36">
        <v>0.36248000000000002</v>
      </c>
    </row>
    <row r="24" spans="2:26" ht="13.95" customHeight="1" x14ac:dyDescent="0.3">
      <c r="B24" s="16" t="s">
        <v>51</v>
      </c>
      <c r="C24" s="16" t="s">
        <v>38</v>
      </c>
      <c r="D24" s="33">
        <v>262.49334278714252</v>
      </c>
      <c r="E24" s="34">
        <f>D24/7911.148704</f>
        <v>3.3180180604419914E-2</v>
      </c>
      <c r="F24" s="35">
        <v>39297.833333333343</v>
      </c>
      <c r="G24" s="35">
        <v>41804.846153846163</v>
      </c>
      <c r="H24" s="35">
        <v>43576.545454545463</v>
      </c>
      <c r="I24" s="35">
        <v>2989.7777777777778</v>
      </c>
      <c r="J24" s="35">
        <v>3277.333333333333</v>
      </c>
      <c r="K24" s="35">
        <v>3455</v>
      </c>
      <c r="L24" s="35">
        <v>1760.5</v>
      </c>
      <c r="M24" s="35">
        <v>1983.75</v>
      </c>
      <c r="N24" s="35">
        <v>2157.333333333333</v>
      </c>
      <c r="O24" s="35">
        <v>151.82499999999999</v>
      </c>
      <c r="P24" s="35">
        <v>437.5</v>
      </c>
      <c r="Q24" s="35">
        <v>651.27300000000002</v>
      </c>
      <c r="R24" s="35">
        <v>-914.85714285714278</v>
      </c>
      <c r="S24" s="35">
        <v>-975</v>
      </c>
      <c r="T24" s="35">
        <v>-1019.428571428571</v>
      </c>
      <c r="U24" s="35">
        <v>0</v>
      </c>
      <c r="V24" s="35">
        <v>0</v>
      </c>
      <c r="W24" s="35">
        <v>0</v>
      </c>
      <c r="X24" s="36">
        <v>9.2600000000000009E-3</v>
      </c>
      <c r="Y24" s="36">
        <v>3.424E-2</v>
      </c>
      <c r="Z24" s="36">
        <v>4.9050000000000003E-2</v>
      </c>
    </row>
    <row r="25" spans="2:26" ht="13.95" customHeight="1" x14ac:dyDescent="0.3">
      <c r="B25" s="16" t="s">
        <v>52</v>
      </c>
      <c r="C25" s="16" t="s">
        <v>38</v>
      </c>
      <c r="D25" s="33">
        <v>251.08459653594369</v>
      </c>
      <c r="E25" s="34">
        <f>D25/3709.21487952</f>
        <v>6.7692114016440028E-2</v>
      </c>
      <c r="F25" s="35">
        <v>5199.75</v>
      </c>
      <c r="G25" s="35">
        <v>6120.75</v>
      </c>
      <c r="H25" s="35">
        <v>6827</v>
      </c>
      <c r="I25" s="35">
        <v>910.14285714285722</v>
      </c>
      <c r="J25" s="35">
        <v>1107.571428571428</v>
      </c>
      <c r="K25" s="35">
        <v>1252.166666666667</v>
      </c>
      <c r="L25" s="35">
        <v>835.42857142857144</v>
      </c>
      <c r="M25" s="35">
        <v>1018.285714285714</v>
      </c>
      <c r="N25" s="35">
        <v>1164.1428571428571</v>
      </c>
      <c r="O25" s="35">
        <v>665.125</v>
      </c>
      <c r="P25" s="35">
        <v>839</v>
      </c>
      <c r="Q25" s="35">
        <v>978.85699999999997</v>
      </c>
      <c r="R25" s="35">
        <v>-96.4</v>
      </c>
      <c r="S25" s="35">
        <v>-93.066666666666677</v>
      </c>
      <c r="T25" s="35">
        <v>-104.26666666666669</v>
      </c>
      <c r="U25" s="35">
        <v>0</v>
      </c>
      <c r="V25" s="35">
        <v>0</v>
      </c>
      <c r="W25" s="35">
        <v>0</v>
      </c>
      <c r="X25" s="36">
        <v>0.45618999999999998</v>
      </c>
      <c r="Y25" s="36">
        <v>0.40307999999999999</v>
      </c>
      <c r="Z25" s="36">
        <v>0.38013999999999998</v>
      </c>
    </row>
    <row r="26" spans="2:26" ht="13.95" customHeight="1" x14ac:dyDescent="0.3">
      <c r="B26" s="16" t="s">
        <v>53</v>
      </c>
      <c r="C26" s="16" t="s">
        <v>38</v>
      </c>
      <c r="D26" s="33">
        <v>246.63343788590109</v>
      </c>
      <c r="E26" s="34">
        <f>D26/5792.71565000999</f>
        <v>4.2576479286615038E-2</v>
      </c>
      <c r="F26" s="35">
        <v>8959.125</v>
      </c>
      <c r="G26" s="35">
        <v>9651.75</v>
      </c>
      <c r="H26" s="35">
        <v>10269.875</v>
      </c>
      <c r="I26" s="35">
        <v>1432.875</v>
      </c>
      <c r="J26" s="35">
        <v>1585.625</v>
      </c>
      <c r="K26" s="35">
        <v>1695.625</v>
      </c>
      <c r="L26" s="35">
        <v>1239.125</v>
      </c>
      <c r="M26" s="35">
        <v>1366.625</v>
      </c>
      <c r="N26" s="35">
        <v>1460</v>
      </c>
      <c r="O26" s="35">
        <v>1081.5</v>
      </c>
      <c r="P26" s="35">
        <v>1122.5</v>
      </c>
      <c r="Q26" s="35">
        <v>1198.625</v>
      </c>
      <c r="R26" s="35">
        <v>-307.85714285714289</v>
      </c>
      <c r="S26" s="35">
        <v>-327.57142857142861</v>
      </c>
      <c r="T26" s="35">
        <v>-352.42857142857139</v>
      </c>
      <c r="U26" s="35">
        <v>0</v>
      </c>
      <c r="V26" s="35">
        <v>0</v>
      </c>
      <c r="W26" s="35">
        <v>0</v>
      </c>
      <c r="X26" s="36">
        <v>0.26396999999999998</v>
      </c>
      <c r="Y26" s="36">
        <v>0.24368000000000001</v>
      </c>
      <c r="Z26" s="36">
        <v>0.23971999999999999</v>
      </c>
    </row>
    <row r="27" spans="2:26" ht="13.95" customHeight="1" x14ac:dyDescent="0.3">
      <c r="B27" s="16" t="s">
        <v>54</v>
      </c>
      <c r="C27" s="16" t="s">
        <v>38</v>
      </c>
      <c r="D27" s="33">
        <v>246.62878558659281</v>
      </c>
      <c r="E27" s="34">
        <f>D27/6632.43335351999</f>
        <v>3.7185264056321207E-2</v>
      </c>
      <c r="F27" s="35">
        <v>3356.4285714285711</v>
      </c>
      <c r="G27" s="35">
        <v>3771.1428571428569</v>
      </c>
      <c r="H27" s="35">
        <v>4169.2307692307704</v>
      </c>
      <c r="I27" s="35">
        <v>904.07692307692309</v>
      </c>
      <c r="J27" s="35">
        <v>1020.384615384615</v>
      </c>
      <c r="K27" s="35">
        <v>1169.5</v>
      </c>
      <c r="L27" s="35">
        <v>788.07692307692309</v>
      </c>
      <c r="M27" s="35">
        <v>895.07692307692309</v>
      </c>
      <c r="N27" s="35">
        <v>1003.846153846154</v>
      </c>
      <c r="O27" s="35">
        <v>623.14300000000003</v>
      </c>
      <c r="P27" s="35">
        <v>735.14300000000003</v>
      </c>
      <c r="Q27" s="35">
        <v>843.923</v>
      </c>
      <c r="R27" s="35">
        <v>-128.30000000000001</v>
      </c>
      <c r="S27" s="35">
        <v>-142</v>
      </c>
      <c r="T27" s="35">
        <v>-141.9</v>
      </c>
      <c r="U27" s="35">
        <v>0</v>
      </c>
      <c r="V27" s="35">
        <v>0</v>
      </c>
      <c r="W27" s="35">
        <v>0</v>
      </c>
      <c r="X27" s="36">
        <v>0.19397</v>
      </c>
      <c r="Y27" s="36">
        <v>0.19894999999999999</v>
      </c>
      <c r="Z27" s="36">
        <v>0.20180999999999999</v>
      </c>
    </row>
    <row r="28" spans="2:26" ht="13.95" customHeight="1" x14ac:dyDescent="0.3">
      <c r="B28" s="16" t="s">
        <v>55</v>
      </c>
      <c r="C28" s="16" t="s">
        <v>38</v>
      </c>
      <c r="D28" s="33">
        <v>219.64420811770839</v>
      </c>
      <c r="E28" s="34">
        <f>D28/3626.19549873</f>
        <v>6.0571529636125304E-2</v>
      </c>
      <c r="F28" s="35">
        <v>5699.0769230769238</v>
      </c>
      <c r="G28" s="35">
        <v>5999.2307692307704</v>
      </c>
      <c r="H28" s="35">
        <v>6283.5</v>
      </c>
      <c r="I28" s="35">
        <v>1850.461538461539</v>
      </c>
      <c r="J28" s="35">
        <v>1932.153846153846</v>
      </c>
      <c r="K28" s="35">
        <v>2008.166666666667</v>
      </c>
      <c r="L28" s="35">
        <v>1008.4</v>
      </c>
      <c r="M28" s="35">
        <v>1148.818181818182</v>
      </c>
      <c r="N28" s="35">
        <v>1231.818181818182</v>
      </c>
      <c r="O28" s="35">
        <v>354.22199999999998</v>
      </c>
      <c r="P28" s="35">
        <v>515.27300000000002</v>
      </c>
      <c r="Q28" s="35">
        <v>637.36400000000003</v>
      </c>
      <c r="R28" s="35">
        <v>-427.4</v>
      </c>
      <c r="S28" s="35">
        <v>-429.8</v>
      </c>
      <c r="T28" s="35">
        <v>-441.8</v>
      </c>
      <c r="U28" s="35">
        <v>0</v>
      </c>
      <c r="V28" s="35">
        <v>0</v>
      </c>
      <c r="W28" s="35">
        <v>0</v>
      </c>
      <c r="X28" s="36">
        <v>0.10645</v>
      </c>
      <c r="Y28" s="36">
        <v>0.14985000000000001</v>
      </c>
      <c r="Z28" s="36">
        <v>0.16766</v>
      </c>
    </row>
    <row r="29" spans="2:26" ht="13.95" customHeight="1" x14ac:dyDescent="0.3">
      <c r="B29" s="16" t="s">
        <v>56</v>
      </c>
      <c r="C29" s="16" t="s">
        <v>38</v>
      </c>
      <c r="D29" s="33">
        <v>218.86238573802251</v>
      </c>
      <c r="E29" s="34">
        <f>D29/7404.27080189999</f>
        <v>2.9558938563114253E-2</v>
      </c>
      <c r="F29" s="35">
        <v>6636.1</v>
      </c>
      <c r="G29" s="35">
        <v>7336.2</v>
      </c>
      <c r="H29" s="35">
        <v>7785.1111111111104</v>
      </c>
      <c r="I29" s="35">
        <v>3936.9</v>
      </c>
      <c r="J29" s="35">
        <v>4261.8</v>
      </c>
      <c r="K29" s="35">
        <v>4599.5555555555557</v>
      </c>
      <c r="L29" s="35">
        <v>2732.7777777777778</v>
      </c>
      <c r="M29" s="35">
        <v>2898.1111111111109</v>
      </c>
      <c r="N29" s="35">
        <v>3023.2222222222222</v>
      </c>
      <c r="O29" s="35">
        <v>473.2</v>
      </c>
      <c r="P29" s="35">
        <v>731.9</v>
      </c>
      <c r="Q29" s="35">
        <v>1081.3330000000001</v>
      </c>
      <c r="R29" s="35">
        <v>-2967.833333333333</v>
      </c>
      <c r="S29" s="35">
        <v>-3416.5</v>
      </c>
      <c r="T29" s="35">
        <v>-3910.833333333333</v>
      </c>
      <c r="U29" s="37">
        <f>-R29*FleetRatio</f>
        <v>2158.9412014313584</v>
      </c>
      <c r="V29" s="37">
        <f>-S29*FleetRatio</f>
        <v>2485.3223837896007</v>
      </c>
      <c r="W29" s="37">
        <f>-T29*FleetRatio</f>
        <v>2844.9236419153608</v>
      </c>
      <c r="X29" s="36">
        <v>0.15723000000000001</v>
      </c>
      <c r="Y29" s="36">
        <v>0.20930000000000001</v>
      </c>
      <c r="Z29" s="36">
        <v>0.26423000000000002</v>
      </c>
    </row>
    <row r="30" spans="2:26" ht="13.95" customHeight="1" x14ac:dyDescent="0.3">
      <c r="B30" s="16" t="s">
        <v>57</v>
      </c>
      <c r="C30" s="16" t="s">
        <v>38</v>
      </c>
      <c r="D30" s="33">
        <v>208.33727229401339</v>
      </c>
      <c r="E30" s="34">
        <f>D30/4846.31591110999</f>
        <v>4.2988793160678676E-2</v>
      </c>
      <c r="F30" s="35">
        <v>11464</v>
      </c>
      <c r="G30" s="35">
        <v>12169.777777777779</v>
      </c>
      <c r="H30" s="35">
        <v>12871.625</v>
      </c>
      <c r="I30" s="35">
        <v>1614.428571428572</v>
      </c>
      <c r="J30" s="35">
        <v>1817.285714285714</v>
      </c>
      <c r="K30" s="35">
        <v>1959.5</v>
      </c>
      <c r="L30" s="35">
        <v>1049.333333333333</v>
      </c>
      <c r="M30" s="35">
        <v>1218.375</v>
      </c>
      <c r="N30" s="35">
        <v>1417.375</v>
      </c>
      <c r="O30" s="35">
        <v>399.1</v>
      </c>
      <c r="P30" s="35">
        <v>575.9</v>
      </c>
      <c r="Q30" s="35">
        <v>710.55600000000004</v>
      </c>
      <c r="R30" s="35">
        <v>-375.5</v>
      </c>
      <c r="S30" s="35">
        <v>-375</v>
      </c>
      <c r="T30" s="35">
        <v>-407</v>
      </c>
      <c r="U30" s="35">
        <v>0</v>
      </c>
      <c r="V30" s="35">
        <v>0</v>
      </c>
      <c r="W30" s="35">
        <v>0</v>
      </c>
      <c r="X30" s="36">
        <v>5.7380000000000007E-2</v>
      </c>
      <c r="Y30" s="36">
        <v>7.5300000000000006E-2</v>
      </c>
      <c r="Z30" s="36">
        <v>9.1159999999999991E-2</v>
      </c>
    </row>
    <row r="31" spans="2:26" ht="13.95" customHeight="1" x14ac:dyDescent="0.3">
      <c r="B31" s="16" t="s">
        <v>58</v>
      </c>
      <c r="C31" s="16" t="s">
        <v>38</v>
      </c>
      <c r="D31" s="33">
        <v>180.49236400153819</v>
      </c>
      <c r="E31" s="34">
        <f>D31/3868.4756034</f>
        <v>4.6657232074283628E-2</v>
      </c>
      <c r="F31" s="35">
        <v>8396.75</v>
      </c>
      <c r="G31" s="35">
        <v>9055.75</v>
      </c>
      <c r="H31" s="35">
        <v>9749.5</v>
      </c>
      <c r="I31" s="35">
        <v>1651.2222222222219</v>
      </c>
      <c r="J31" s="35">
        <v>1699.545454545455</v>
      </c>
      <c r="K31" s="35">
        <v>1842.090909090909</v>
      </c>
      <c r="L31" s="35">
        <v>955.1</v>
      </c>
      <c r="M31" s="35">
        <v>1021.7</v>
      </c>
      <c r="N31" s="35">
        <v>1110.5999999999999</v>
      </c>
      <c r="O31" s="35">
        <v>517.63599999999997</v>
      </c>
      <c r="P31" s="35">
        <v>547.6</v>
      </c>
      <c r="Q31" s="35">
        <v>586.1</v>
      </c>
      <c r="R31" s="35">
        <v>-632.14285714285722</v>
      </c>
      <c r="S31" s="35">
        <v>-701.25</v>
      </c>
      <c r="T31" s="35">
        <v>-751.125</v>
      </c>
      <c r="U31" s="35">
        <v>0</v>
      </c>
      <c r="V31" s="35">
        <v>0</v>
      </c>
      <c r="W31" s="35">
        <v>0</v>
      </c>
      <c r="X31" s="36">
        <v>0.13163</v>
      </c>
      <c r="Y31" s="36">
        <v>0.12884999999999999</v>
      </c>
      <c r="Z31" s="36">
        <v>0.12422999999999999</v>
      </c>
    </row>
    <row r="32" spans="2:26" ht="13.95" customHeight="1" x14ac:dyDescent="0.3">
      <c r="B32" s="16" t="s">
        <v>59</v>
      </c>
      <c r="C32" s="16" t="s">
        <v>38</v>
      </c>
      <c r="D32" s="33">
        <v>167.88482367731299</v>
      </c>
      <c r="E32" s="34">
        <f>D32/3574.00714585</f>
        <v>4.6973835481066234E-2</v>
      </c>
      <c r="F32" s="35">
        <v>11757.5</v>
      </c>
      <c r="G32" s="35">
        <v>11928.285714285719</v>
      </c>
      <c r="H32" s="35">
        <v>12097.714285714281</v>
      </c>
      <c r="I32" s="35">
        <v>1198.8571428571429</v>
      </c>
      <c r="J32" s="35">
        <v>2156.333333333333</v>
      </c>
      <c r="K32" s="35">
        <v>2112.333333333333</v>
      </c>
      <c r="L32" s="35">
        <v>819.33333333333337</v>
      </c>
      <c r="M32" s="35">
        <v>1769</v>
      </c>
      <c r="N32" s="35">
        <v>1803.5</v>
      </c>
      <c r="O32" s="35">
        <v>-394.6</v>
      </c>
      <c r="P32" s="35">
        <v>649.28600000000006</v>
      </c>
      <c r="Q32" s="35">
        <v>870.28600000000006</v>
      </c>
      <c r="R32" s="35">
        <v>-146.69999999999999</v>
      </c>
      <c r="S32" s="35">
        <v>-229.55</v>
      </c>
      <c r="T32" s="35">
        <v>-270.05</v>
      </c>
      <c r="U32" s="35">
        <v>0</v>
      </c>
      <c r="V32" s="35">
        <v>0</v>
      </c>
      <c r="W32" s="35">
        <v>0</v>
      </c>
      <c r="X32" s="36">
        <v>-8.0199999999999994E-2</v>
      </c>
      <c r="Y32" s="36">
        <v>0.1406</v>
      </c>
      <c r="Z32" s="36">
        <v>0.14757999999999999</v>
      </c>
    </row>
    <row r="35" spans="2:26" ht="13.95" customHeight="1" x14ac:dyDescent="0.3">
      <c r="B35" s="43" t="s">
        <v>60</v>
      </c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2:26" ht="43.95" customHeight="1" x14ac:dyDescent="0.3">
      <c r="B36" s="6" t="s">
        <v>9</v>
      </c>
      <c r="C36" s="7" t="s">
        <v>10</v>
      </c>
      <c r="D36" s="7" t="s">
        <v>11</v>
      </c>
      <c r="E36" s="7" t="s">
        <v>12</v>
      </c>
      <c r="F36" s="7" t="s">
        <v>13</v>
      </c>
      <c r="G36" s="7" t="s">
        <v>14</v>
      </c>
      <c r="H36" s="7" t="s">
        <v>15</v>
      </c>
      <c r="I36" s="7" t="s">
        <v>16</v>
      </c>
      <c r="J36" s="7" t="s">
        <v>17</v>
      </c>
      <c r="K36" s="7" t="s">
        <v>18</v>
      </c>
      <c r="L36" s="7" t="s">
        <v>19</v>
      </c>
      <c r="M36" s="7" t="s">
        <v>20</v>
      </c>
      <c r="N36" s="7" t="s">
        <v>21</v>
      </c>
      <c r="O36" s="7" t="s">
        <v>22</v>
      </c>
      <c r="P36" s="7" t="s">
        <v>23</v>
      </c>
      <c r="Q36" s="7" t="s">
        <v>24</v>
      </c>
      <c r="R36" s="7" t="s">
        <v>25</v>
      </c>
      <c r="S36" s="7" t="s">
        <v>26</v>
      </c>
      <c r="T36" s="7" t="s">
        <v>27</v>
      </c>
      <c r="U36" s="7" t="s">
        <v>28</v>
      </c>
      <c r="V36" s="7" t="s">
        <v>29</v>
      </c>
      <c r="W36" s="7" t="s">
        <v>30</v>
      </c>
      <c r="X36" s="7" t="s">
        <v>61</v>
      </c>
      <c r="Y36" s="7" t="s">
        <v>62</v>
      </c>
      <c r="Z36" s="7" t="s">
        <v>63</v>
      </c>
    </row>
    <row r="37" spans="2:26" ht="13.95" customHeight="1" x14ac:dyDescent="0.3">
      <c r="B37" s="16" t="s">
        <v>34</v>
      </c>
      <c r="C37" s="16" t="str">
        <f t="shared" ref="C37:D60" si="0">C9</f>
        <v>WEG &amp; Embraer</v>
      </c>
      <c r="D37" s="38">
        <f t="shared" si="0"/>
        <v>5386.722224352483</v>
      </c>
      <c r="F37" s="38">
        <f t="shared" ref="F37:W37" si="1">F9*$E$9</f>
        <v>1044.1496988704671</v>
      </c>
      <c r="G37" s="38">
        <f t="shared" si="1"/>
        <v>1214.5479283750371</v>
      </c>
      <c r="H37" s="38">
        <f t="shared" si="1"/>
        <v>1412.9916575712218</v>
      </c>
      <c r="I37" s="38">
        <f t="shared" si="1"/>
        <v>229.55186554615742</v>
      </c>
      <c r="J37" s="38">
        <f t="shared" si="1"/>
        <v>271.65008600845977</v>
      </c>
      <c r="K37" s="38">
        <f t="shared" si="1"/>
        <v>321.9945647025956</v>
      </c>
      <c r="L37" s="38">
        <f t="shared" si="1"/>
        <v>202.37083669254903</v>
      </c>
      <c r="M37" s="38">
        <f t="shared" si="1"/>
        <v>240.00508047365022</v>
      </c>
      <c r="N37" s="38">
        <f t="shared" si="1"/>
        <v>285.22391267196963</v>
      </c>
      <c r="O37" s="38">
        <f t="shared" si="1"/>
        <v>161.21005133329896</v>
      </c>
      <c r="P37" s="38">
        <f t="shared" si="1"/>
        <v>190.72861863034379</v>
      </c>
      <c r="Q37" s="38">
        <f t="shared" si="1"/>
        <v>223.48610556128006</v>
      </c>
      <c r="R37" s="38">
        <f t="shared" si="1"/>
        <v>-88.937434476489457</v>
      </c>
      <c r="S37" s="38">
        <f t="shared" si="1"/>
        <v>-83.305314364693757</v>
      </c>
      <c r="T37" s="38">
        <f t="shared" si="1"/>
        <v>-83.308095658576121</v>
      </c>
      <c r="U37" s="38">
        <f t="shared" si="1"/>
        <v>0</v>
      </c>
      <c r="V37" s="38">
        <f t="shared" si="1"/>
        <v>0</v>
      </c>
      <c r="W37" s="38">
        <f t="shared" si="1"/>
        <v>0</v>
      </c>
      <c r="X37" s="38">
        <f>IF(ISNUMBER(X9),O9*$E$9/X9,0)</f>
        <v>471.78826846151293</v>
      </c>
      <c r="Y37" s="38">
        <f>IF(ISNUMBER(Y9),P9*$E$9/Y9,0)</f>
        <v>594.68888323255112</v>
      </c>
      <c r="Z37" s="38">
        <f>IF(ISNUMBER(Z9),Q9*$E$9/Z9,0)</f>
        <v>711.62587346371618</v>
      </c>
    </row>
    <row r="38" spans="2:26" ht="13.95" customHeight="1" x14ac:dyDescent="0.3">
      <c r="B38" s="16" t="s">
        <v>36</v>
      </c>
      <c r="C38" s="16" t="str">
        <f t="shared" si="0"/>
        <v>WEG &amp; Embraer</v>
      </c>
      <c r="D38" s="38">
        <f t="shared" si="0"/>
        <v>4817.8328849305708</v>
      </c>
      <c r="F38" s="38">
        <f t="shared" ref="F38:W38" si="2">F10*$E$10</f>
        <v>3235.2257789327923</v>
      </c>
      <c r="G38" s="38">
        <f t="shared" si="2"/>
        <v>3619.4235342598045</v>
      </c>
      <c r="H38" s="38">
        <f t="shared" si="2"/>
        <v>4013.5111080382658</v>
      </c>
      <c r="I38" s="38">
        <f t="shared" si="2"/>
        <v>422.5933013859476</v>
      </c>
      <c r="J38" s="38">
        <f t="shared" si="2"/>
        <v>480.38269714066882</v>
      </c>
      <c r="K38" s="38">
        <f t="shared" si="2"/>
        <v>546.31950278931959</v>
      </c>
      <c r="L38" s="38">
        <f t="shared" si="2"/>
        <v>330.47134820794793</v>
      </c>
      <c r="M38" s="38">
        <f t="shared" si="2"/>
        <v>385.97271600640676</v>
      </c>
      <c r="N38" s="38">
        <f t="shared" si="2"/>
        <v>440.55931400706413</v>
      </c>
      <c r="O38" s="38">
        <f t="shared" si="2"/>
        <v>214.36785180464176</v>
      </c>
      <c r="P38" s="38">
        <f t="shared" si="2"/>
        <v>261.05039516066699</v>
      </c>
      <c r="Q38" s="38">
        <f t="shared" si="2"/>
        <v>314.28400559536726</v>
      </c>
      <c r="R38" s="38">
        <f t="shared" si="2"/>
        <v>-130.70283837152661</v>
      </c>
      <c r="S38" s="38">
        <f t="shared" si="2"/>
        <v>-139.56363629233027</v>
      </c>
      <c r="T38" s="38">
        <f t="shared" si="2"/>
        <v>-149.35906632258863</v>
      </c>
      <c r="U38" s="38">
        <f t="shared" si="2"/>
        <v>0</v>
      </c>
      <c r="V38" s="38">
        <f t="shared" si="2"/>
        <v>0</v>
      </c>
      <c r="W38" s="38">
        <f t="shared" si="2"/>
        <v>0</v>
      </c>
      <c r="X38" s="38">
        <f>IF(ISNUMBER(X10),O10*$E$10/X10,0)</f>
        <v>1363.2295822234771</v>
      </c>
      <c r="Y38" s="38">
        <f>IF(ISNUMBER(Y10),P10*$E$10/Y10,0)</f>
        <v>1540.1203254316636</v>
      </c>
      <c r="Z38" s="38">
        <f>IF(ISNUMBER(Z10),Q10*$E$10/Z10,0)</f>
        <v>1779.8391980709439</v>
      </c>
    </row>
    <row r="39" spans="2:26" ht="13.95" customHeight="1" x14ac:dyDescent="0.3">
      <c r="B39" s="16" t="s">
        <v>37</v>
      </c>
      <c r="C39" s="16" t="str">
        <f t="shared" si="0"/>
        <v>Cyclicals ex-WEG &amp; Embraer</v>
      </c>
      <c r="D39" s="38">
        <f t="shared" si="0"/>
        <v>3528.9277012464358</v>
      </c>
      <c r="F39" s="38">
        <f t="shared" ref="F39:W39" si="3">F11*$E$11</f>
        <v>3100.314485744329</v>
      </c>
      <c r="G39" s="38">
        <f t="shared" si="3"/>
        <v>3315.6982626578206</v>
      </c>
      <c r="H39" s="38">
        <f t="shared" si="3"/>
        <v>3534.6722857687228</v>
      </c>
      <c r="I39" s="38">
        <f t="shared" si="3"/>
        <v>980.41616627415476</v>
      </c>
      <c r="J39" s="38">
        <f t="shared" si="3"/>
        <v>1055.904321213399</v>
      </c>
      <c r="K39" s="38">
        <f t="shared" si="3"/>
        <v>1141.5226528333976</v>
      </c>
      <c r="L39" s="38">
        <f t="shared" si="3"/>
        <v>627.77133653847375</v>
      </c>
      <c r="M39" s="38">
        <f t="shared" si="3"/>
        <v>679.35253749843366</v>
      </c>
      <c r="N39" s="38">
        <f t="shared" si="3"/>
        <v>756.00582007872117</v>
      </c>
      <c r="O39" s="38">
        <f t="shared" si="3"/>
        <v>265.86416753237017</v>
      </c>
      <c r="P39" s="38">
        <f t="shared" si="3"/>
        <v>295.77055674927749</v>
      </c>
      <c r="Q39" s="38">
        <f t="shared" si="3"/>
        <v>360.68522483844822</v>
      </c>
      <c r="R39" s="38">
        <f t="shared" si="3"/>
        <v>-1478.3342385474002</v>
      </c>
      <c r="S39" s="38">
        <f t="shared" si="3"/>
        <v>-1653.071262684326</v>
      </c>
      <c r="T39" s="38">
        <f t="shared" si="3"/>
        <v>-1641.6465310437572</v>
      </c>
      <c r="U39" s="38">
        <f t="shared" si="3"/>
        <v>1075.4096806042467</v>
      </c>
      <c r="V39" s="38">
        <f t="shared" si="3"/>
        <v>1202.5215896820416</v>
      </c>
      <c r="W39" s="38">
        <f t="shared" si="3"/>
        <v>1194.2107038997804</v>
      </c>
      <c r="X39" s="38">
        <f>IF(ISNUMBER(X11),O11*$E$11/X11,0)</f>
        <v>1690.9251894191323</v>
      </c>
      <c r="Y39" s="38">
        <f>IF(ISNUMBER(Y11),P11*$E$11/Y11,0)</f>
        <v>1813.8756086672236</v>
      </c>
      <c r="Z39" s="38">
        <f>IF(ISNUMBER(Z11),Q11*$E$11/Z11,0)</f>
        <v>1934.7989745652194</v>
      </c>
    </row>
    <row r="40" spans="2:26" ht="13.95" customHeight="1" x14ac:dyDescent="0.3">
      <c r="B40" s="16" t="s">
        <v>39</v>
      </c>
      <c r="C40" s="16" t="str">
        <f t="shared" si="0"/>
        <v>Cyclicals ex-WEG &amp; Embraer</v>
      </c>
      <c r="D40" s="38">
        <f t="shared" si="0"/>
        <v>1897.6387421825279</v>
      </c>
      <c r="F40" s="38">
        <f t="shared" ref="F40:W40" si="4">F12*$E$12</f>
        <v>815.15417094015868</v>
      </c>
      <c r="G40" s="38">
        <f t="shared" si="4"/>
        <v>862.71053073338635</v>
      </c>
      <c r="H40" s="38">
        <f t="shared" si="4"/>
        <v>905.41636661725283</v>
      </c>
      <c r="I40" s="38">
        <f t="shared" si="4"/>
        <v>448.95403072652545</v>
      </c>
      <c r="J40" s="38">
        <f t="shared" si="4"/>
        <v>495.92869533613595</v>
      </c>
      <c r="K40" s="38">
        <f t="shared" si="4"/>
        <v>524.21535412907519</v>
      </c>
      <c r="L40" s="38">
        <f t="shared" si="4"/>
        <v>320.05736406155881</v>
      </c>
      <c r="M40" s="38">
        <f t="shared" si="4"/>
        <v>365.00140189888094</v>
      </c>
      <c r="N40" s="38">
        <f t="shared" si="4"/>
        <v>384.67993018499772</v>
      </c>
      <c r="O40" s="38">
        <f t="shared" si="4"/>
        <v>105.76806338158588</v>
      </c>
      <c r="P40" s="38">
        <f t="shared" si="4"/>
        <v>147.24149934261746</v>
      </c>
      <c r="Q40" s="38">
        <f t="shared" si="4"/>
        <v>178.11053600668572</v>
      </c>
      <c r="R40" s="38">
        <f t="shared" si="4"/>
        <v>-320.86075689237282</v>
      </c>
      <c r="S40" s="38">
        <f t="shared" si="4"/>
        <v>-263.98900123738196</v>
      </c>
      <c r="T40" s="38">
        <f t="shared" si="4"/>
        <v>-271.94939244430321</v>
      </c>
      <c r="U40" s="38">
        <f t="shared" si="4"/>
        <v>0</v>
      </c>
      <c r="V40" s="38">
        <f t="shared" si="4"/>
        <v>0</v>
      </c>
      <c r="W40" s="38">
        <f t="shared" si="4"/>
        <v>0</v>
      </c>
      <c r="X40" s="38">
        <f>IF(ISNUMBER(X12),O12*$E$12/X12,0)</f>
        <v>835.91293275575651</v>
      </c>
      <c r="Y40" s="38">
        <f>IF(ISNUMBER(Y12),P12*$E$12/Y12,0)</f>
        <v>931.14209411634397</v>
      </c>
      <c r="Z40" s="38">
        <f>IF(ISNUMBER(Z12),Q12*$E$12/Z12,0)</f>
        <v>1079.7850015561426</v>
      </c>
    </row>
    <row r="41" spans="2:26" ht="13.95" customHeight="1" x14ac:dyDescent="0.3">
      <c r="B41" s="16" t="s">
        <v>40</v>
      </c>
      <c r="C41" s="16" t="str">
        <f t="shared" si="0"/>
        <v>Cyclicals ex-WEG &amp; Embraer</v>
      </c>
      <c r="D41" s="38">
        <f t="shared" si="0"/>
        <v>1406.9784385779219</v>
      </c>
      <c r="F41" s="38">
        <f t="shared" ref="F41:W41" si="5">F13*$E$13</f>
        <v>641.1295407631942</v>
      </c>
      <c r="G41" s="38">
        <f t="shared" si="5"/>
        <v>679.06679621049977</v>
      </c>
      <c r="H41" s="38">
        <f t="shared" si="5"/>
        <v>749.0248418133508</v>
      </c>
      <c r="I41" s="38">
        <f t="shared" si="5"/>
        <v>362.47852419204156</v>
      </c>
      <c r="J41" s="38">
        <f t="shared" si="5"/>
        <v>392.35362303683718</v>
      </c>
      <c r="K41" s="38">
        <f t="shared" si="5"/>
        <v>445.79549946870839</v>
      </c>
      <c r="L41" s="38">
        <f t="shared" si="5"/>
        <v>281.15273701668912</v>
      </c>
      <c r="M41" s="38">
        <f t="shared" si="5"/>
        <v>298.35521392233613</v>
      </c>
      <c r="N41" s="38">
        <f t="shared" si="5"/>
        <v>335.41597154292447</v>
      </c>
      <c r="O41" s="38">
        <f t="shared" si="5"/>
        <v>97.319388426012665</v>
      </c>
      <c r="P41" s="38">
        <f t="shared" si="5"/>
        <v>100.81280003678532</v>
      </c>
      <c r="Q41" s="38">
        <f t="shared" si="5"/>
        <v>123.59082698401275</v>
      </c>
      <c r="R41" s="38">
        <f t="shared" si="5"/>
        <v>-329.78206239233356</v>
      </c>
      <c r="S41" s="38">
        <f t="shared" si="5"/>
        <v>-268.91115664009664</v>
      </c>
      <c r="T41" s="38">
        <f t="shared" si="5"/>
        <v>-285.4866640002075</v>
      </c>
      <c r="U41" s="38">
        <f t="shared" si="5"/>
        <v>0</v>
      </c>
      <c r="V41" s="38">
        <f t="shared" si="5"/>
        <v>0</v>
      </c>
      <c r="W41" s="38">
        <f t="shared" si="5"/>
        <v>0</v>
      </c>
      <c r="X41" s="38">
        <f>IF(ISNUMBER(X13),O13*$E$13/X13,0)</f>
        <v>661.22699025691441</v>
      </c>
      <c r="Y41" s="38">
        <f>IF(ISNUMBER(Y13),P13*$E$13/Y13,0)</f>
        <v>688.04804829910802</v>
      </c>
      <c r="Z41" s="38">
        <f>IF(ISNUMBER(Z13),Q13*$E$13/Z13,0)</f>
        <v>706.83915918794821</v>
      </c>
    </row>
    <row r="42" spans="2:26" ht="13.95" customHeight="1" x14ac:dyDescent="0.3">
      <c r="B42" s="16" t="s">
        <v>41</v>
      </c>
      <c r="C42" s="16" t="str">
        <f t="shared" si="0"/>
        <v>Cyclicals ex-WEG &amp; Embraer</v>
      </c>
      <c r="D42" s="38">
        <f t="shared" si="0"/>
        <v>1378.3571076008111</v>
      </c>
      <c r="F42" s="38">
        <f t="shared" ref="F42:W42" si="6">F14*$E$14</f>
        <v>448.90724892071535</v>
      </c>
      <c r="G42" s="38">
        <f t="shared" si="6"/>
        <v>517.95554136714668</v>
      </c>
      <c r="H42" s="38">
        <f t="shared" si="6"/>
        <v>584.69937488888286</v>
      </c>
      <c r="I42" s="38">
        <f t="shared" si="6"/>
        <v>117.07784191832334</v>
      </c>
      <c r="J42" s="38">
        <f t="shared" si="6"/>
        <v>137.84953130064304</v>
      </c>
      <c r="K42" s="38">
        <f t="shared" si="6"/>
        <v>161.630568400752</v>
      </c>
      <c r="L42" s="38">
        <f t="shared" si="6"/>
        <v>86.976060647120264</v>
      </c>
      <c r="M42" s="38">
        <f t="shared" si="6"/>
        <v>110.05455373095197</v>
      </c>
      <c r="N42" s="38">
        <f t="shared" si="6"/>
        <v>132.1425558312051</v>
      </c>
      <c r="O42" s="38">
        <f t="shared" si="6"/>
        <v>63.044777688001368</v>
      </c>
      <c r="P42" s="38">
        <f t="shared" si="6"/>
        <v>71.535470558408988</v>
      </c>
      <c r="Q42" s="38">
        <f t="shared" si="6"/>
        <v>91.847702559374909</v>
      </c>
      <c r="R42" s="38">
        <f t="shared" si="6"/>
        <v>-23.003351166308477</v>
      </c>
      <c r="S42" s="38">
        <f t="shared" si="6"/>
        <v>-25.284191917544149</v>
      </c>
      <c r="T42" s="38">
        <f t="shared" si="6"/>
        <v>-27.701493226546056</v>
      </c>
      <c r="U42" s="38">
        <f t="shared" si="6"/>
        <v>0</v>
      </c>
      <c r="V42" s="38">
        <f t="shared" si="6"/>
        <v>0</v>
      </c>
      <c r="W42" s="38">
        <f t="shared" si="6"/>
        <v>0</v>
      </c>
      <c r="X42" s="38">
        <f>IF(ISNUMBER(X14),O14*$E$14/X14,0)</f>
        <v>299.8847818484582</v>
      </c>
      <c r="Y42" s="38">
        <f>IF(ISNUMBER(Y14),P14*$E$14/Y14,0)</f>
        <v>385.7191338208184</v>
      </c>
      <c r="Z42" s="38">
        <f>IF(ISNUMBER(Z14),Q14*$E$14/Z14,0)</f>
        <v>416.41067488495679</v>
      </c>
    </row>
    <row r="43" spans="2:26" ht="13.95" customHeight="1" x14ac:dyDescent="0.3">
      <c r="B43" s="16" t="s">
        <v>42</v>
      </c>
      <c r="C43" s="16" t="str">
        <f t="shared" si="0"/>
        <v>Cyclicals ex-WEG &amp; Embraer</v>
      </c>
      <c r="D43" s="38">
        <f t="shared" si="0"/>
        <v>1141.495657726939</v>
      </c>
      <c r="F43" s="38">
        <f t="shared" ref="F43:W43" si="7">F15*$E$15</f>
        <v>196.7626430879308</v>
      </c>
      <c r="G43" s="38">
        <f t="shared" si="7"/>
        <v>207.15142156392031</v>
      </c>
      <c r="H43" s="38">
        <f t="shared" si="7"/>
        <v>216.54649079438036</v>
      </c>
      <c r="I43" s="38">
        <f t="shared" si="7"/>
        <v>145.81410244813344</v>
      </c>
      <c r="J43" s="38">
        <f t="shared" si="7"/>
        <v>154.03971550864813</v>
      </c>
      <c r="K43" s="38">
        <f t="shared" si="7"/>
        <v>161.17799713025292</v>
      </c>
      <c r="L43" s="38">
        <f t="shared" si="7"/>
        <v>106.38437658337391</v>
      </c>
      <c r="M43" s="38">
        <f t="shared" si="7"/>
        <v>115.28669742762104</v>
      </c>
      <c r="N43" s="38">
        <f t="shared" si="7"/>
        <v>121.00961797035134</v>
      </c>
      <c r="O43" s="38">
        <f t="shared" si="7"/>
        <v>60.19558825503907</v>
      </c>
      <c r="P43" s="38">
        <f t="shared" si="7"/>
        <v>63.071793435256417</v>
      </c>
      <c r="Q43" s="38">
        <f t="shared" si="7"/>
        <v>70.871277691374161</v>
      </c>
      <c r="R43" s="38">
        <f t="shared" si="7"/>
        <v>-21.746628778197785</v>
      </c>
      <c r="S43" s="38">
        <f t="shared" si="7"/>
        <v>-28.645106185178957</v>
      </c>
      <c r="T43" s="38">
        <f t="shared" si="7"/>
        <v>-16.884844700896771</v>
      </c>
      <c r="U43" s="38">
        <f t="shared" si="7"/>
        <v>0</v>
      </c>
      <c r="V43" s="38">
        <f t="shared" si="7"/>
        <v>0</v>
      </c>
      <c r="W43" s="38">
        <f t="shared" si="7"/>
        <v>0</v>
      </c>
      <c r="X43" s="38">
        <f>IF(ISNUMBER(X15),O15*$E$15/X15,0)</f>
        <v>828.11374680202323</v>
      </c>
      <c r="Y43" s="38">
        <f>IF(ISNUMBER(Y15),P15*$E$15/Y15,0)</f>
        <v>799.08518225334365</v>
      </c>
      <c r="Z43" s="38">
        <f>IF(ISNUMBER(Z15),Q15*$E$15/Z15,0)</f>
        <v>754.75269106894734</v>
      </c>
    </row>
    <row r="44" spans="2:26" ht="13.95" customHeight="1" x14ac:dyDescent="0.3">
      <c r="B44" s="16" t="s">
        <v>43</v>
      </c>
      <c r="C44" s="16" t="str">
        <f t="shared" si="0"/>
        <v>Cyclicals ex-WEG &amp; Embraer</v>
      </c>
      <c r="D44" s="38">
        <f t="shared" si="0"/>
        <v>951.12138973503988</v>
      </c>
      <c r="F44" s="38">
        <f t="shared" ref="F44:W44" si="8">F16*$E$16</f>
        <v>1171.1526934734179</v>
      </c>
      <c r="G44" s="38">
        <f t="shared" si="8"/>
        <v>1250.8114239754655</v>
      </c>
      <c r="H44" s="38">
        <f t="shared" si="8"/>
        <v>1354.4078901472674</v>
      </c>
      <c r="I44" s="38">
        <f t="shared" si="8"/>
        <v>229.39715515254341</v>
      </c>
      <c r="J44" s="38">
        <f t="shared" si="8"/>
        <v>246.6021176369245</v>
      </c>
      <c r="K44" s="38">
        <f t="shared" si="8"/>
        <v>267.87971841993874</v>
      </c>
      <c r="L44" s="38">
        <f t="shared" si="8"/>
        <v>137.54591430685929</v>
      </c>
      <c r="M44" s="38">
        <f t="shared" si="8"/>
        <v>150.26792663177775</v>
      </c>
      <c r="N44" s="38">
        <f t="shared" si="8"/>
        <v>166.9195542638403</v>
      </c>
      <c r="O44" s="38">
        <f t="shared" si="8"/>
        <v>109.25080838405863</v>
      </c>
      <c r="P44" s="38">
        <f t="shared" si="8"/>
        <v>115.7079447539122</v>
      </c>
      <c r="Q44" s="38">
        <f t="shared" si="8"/>
        <v>126.40955802971432</v>
      </c>
      <c r="R44" s="38">
        <f t="shared" si="8"/>
        <v>-68.119584361708803</v>
      </c>
      <c r="S44" s="38">
        <f t="shared" si="8"/>
        <v>-71.488049352518374</v>
      </c>
      <c r="T44" s="38">
        <f t="shared" si="8"/>
        <v>-75.825631881287151</v>
      </c>
      <c r="U44" s="38">
        <f t="shared" si="8"/>
        <v>0</v>
      </c>
      <c r="V44" s="38">
        <f t="shared" si="8"/>
        <v>0</v>
      </c>
      <c r="W44" s="38">
        <f t="shared" si="8"/>
        <v>0</v>
      </c>
      <c r="X44" s="38">
        <f>IF(ISNUMBER(X16),O16*$E$16/X16,0)</f>
        <v>756.9514888384856</v>
      </c>
      <c r="Y44" s="38">
        <f>IF(ISNUMBER(Y16),P16*$E$16/Y16,0)</f>
        <v>782.28615207837322</v>
      </c>
      <c r="Z44" s="38">
        <f>IF(ISNUMBER(Z16),Q16*$E$16/Z16,0)</f>
        <v>834.66198765080435</v>
      </c>
    </row>
    <row r="45" spans="2:26" ht="13.95" customHeight="1" x14ac:dyDescent="0.3">
      <c r="B45" s="16" t="s">
        <v>44</v>
      </c>
      <c r="C45" s="16" t="str">
        <f t="shared" si="0"/>
        <v>Cyclicals ex-WEG &amp; Embraer</v>
      </c>
      <c r="D45" s="38">
        <f t="shared" si="0"/>
        <v>831.74580920333278</v>
      </c>
      <c r="F45" s="38">
        <f t="shared" ref="F45:W45" si="9">F17*$E$17</f>
        <v>128.79716790825435</v>
      </c>
      <c r="G45" s="38">
        <f t="shared" si="9"/>
        <v>122.48113748048976</v>
      </c>
      <c r="H45" s="38">
        <f t="shared" si="9"/>
        <v>128.39512905225408</v>
      </c>
      <c r="I45" s="38">
        <f t="shared" si="9"/>
        <v>95.443354349709949</v>
      </c>
      <c r="J45" s="38">
        <f t="shared" si="9"/>
        <v>92.61300080346787</v>
      </c>
      <c r="K45" s="38">
        <f t="shared" si="9"/>
        <v>99.235250826552715</v>
      </c>
      <c r="L45" s="38">
        <f t="shared" si="9"/>
        <v>90.973352335746654</v>
      </c>
      <c r="M45" s="38">
        <f t="shared" si="9"/>
        <v>85.807153036142864</v>
      </c>
      <c r="N45" s="38">
        <f t="shared" si="9"/>
        <v>91.39951352310699</v>
      </c>
      <c r="O45" s="38">
        <f t="shared" si="9"/>
        <v>55.276318291091947</v>
      </c>
      <c r="P45" s="38">
        <f t="shared" si="9"/>
        <v>57.676502322579381</v>
      </c>
      <c r="Q45" s="38">
        <f t="shared" si="9"/>
        <v>65.894168498448281</v>
      </c>
      <c r="R45" s="38">
        <f t="shared" si="9"/>
        <v>-15.843346217831609</v>
      </c>
      <c r="S45" s="38">
        <f t="shared" si="9"/>
        <v>-14.041262326152991</v>
      </c>
      <c r="T45" s="38">
        <f t="shared" si="9"/>
        <v>-14.182171919695392</v>
      </c>
      <c r="U45" s="38">
        <f t="shared" si="9"/>
        <v>0</v>
      </c>
      <c r="V45" s="38">
        <f t="shared" si="9"/>
        <v>0</v>
      </c>
      <c r="W45" s="38">
        <f t="shared" si="9"/>
        <v>0</v>
      </c>
      <c r="X45" s="38">
        <f>IF(ISNUMBER(X17),O17*$E$17/X17,0)</f>
        <v>299.94203858642328</v>
      </c>
      <c r="Y45" s="38">
        <f>IF(ISNUMBER(Y17),P17*$E$17/Y17,0)</f>
        <v>346.40541935483111</v>
      </c>
      <c r="Z45" s="38">
        <f>IF(ISNUMBER(Z17),Q17*$E$17/Z17,0)</f>
        <v>356.4544438951005</v>
      </c>
    </row>
    <row r="46" spans="2:26" ht="13.95" customHeight="1" x14ac:dyDescent="0.3">
      <c r="B46" s="16" t="s">
        <v>45</v>
      </c>
      <c r="C46" s="16" t="str">
        <f t="shared" si="0"/>
        <v>Cyclicals ex-WEG &amp; Embraer</v>
      </c>
      <c r="D46" s="38">
        <f t="shared" si="0"/>
        <v>831.72715196424633</v>
      </c>
      <c r="F46" s="38">
        <f t="shared" ref="F46:W46" si="10">F18*$E$18</f>
        <v>541.62222976578516</v>
      </c>
      <c r="G46" s="38">
        <f t="shared" si="10"/>
        <v>651.77923833088664</v>
      </c>
      <c r="H46" s="38">
        <f t="shared" si="10"/>
        <v>754.19180214083497</v>
      </c>
      <c r="I46" s="38">
        <f t="shared" si="10"/>
        <v>176.31163992937604</v>
      </c>
      <c r="J46" s="38">
        <f t="shared" si="10"/>
        <v>214.31369296645346</v>
      </c>
      <c r="K46" s="38">
        <f t="shared" si="10"/>
        <v>250.433133386864</v>
      </c>
      <c r="L46" s="38">
        <f t="shared" si="10"/>
        <v>111.52483857221794</v>
      </c>
      <c r="M46" s="38">
        <f t="shared" si="10"/>
        <v>139.16159666781581</v>
      </c>
      <c r="N46" s="38">
        <f t="shared" si="10"/>
        <v>166.05126688804077</v>
      </c>
      <c r="O46" s="38">
        <f t="shared" si="10"/>
        <v>57.141213906455356</v>
      </c>
      <c r="P46" s="38">
        <f t="shared" si="10"/>
        <v>75.258144323888203</v>
      </c>
      <c r="Q46" s="38">
        <f t="shared" si="10"/>
        <v>93.05638682954249</v>
      </c>
      <c r="R46" s="38">
        <f t="shared" si="10"/>
        <v>-163.78528344251617</v>
      </c>
      <c r="S46" s="38">
        <f t="shared" si="10"/>
        <v>-150.73321879629464</v>
      </c>
      <c r="T46" s="38">
        <f t="shared" si="10"/>
        <v>-142.83248984956563</v>
      </c>
      <c r="U46" s="38">
        <f t="shared" si="10"/>
        <v>0</v>
      </c>
      <c r="V46" s="38">
        <f t="shared" si="10"/>
        <v>0</v>
      </c>
      <c r="W46" s="38">
        <f t="shared" si="10"/>
        <v>0</v>
      </c>
      <c r="X46" s="38">
        <f>IF(ISNUMBER(X18),O18*$E$18/X18,0)</f>
        <v>385.93282389879346</v>
      </c>
      <c r="Y46" s="38">
        <f>IF(ISNUMBER(Y18),P18*$E$18/Y18,0)</f>
        <v>423.79853769505695</v>
      </c>
      <c r="Z46" s="38">
        <f>IF(ISNUMBER(Z18),Q18*$E$18/Z18,0)</f>
        <v>457.93212356450221</v>
      </c>
    </row>
    <row r="47" spans="2:26" ht="13.95" customHeight="1" x14ac:dyDescent="0.3">
      <c r="B47" s="16" t="s">
        <v>46</v>
      </c>
      <c r="C47" s="16" t="str">
        <f t="shared" si="0"/>
        <v>Cyclicals ex-WEG &amp; Embraer</v>
      </c>
      <c r="D47" s="38">
        <f t="shared" si="0"/>
        <v>614.64097637829173</v>
      </c>
      <c r="F47" s="38">
        <f t="shared" ref="F47:W47" si="11">F19*$E$19</f>
        <v>415.78674575531727</v>
      </c>
      <c r="G47" s="38">
        <f t="shared" si="11"/>
        <v>484.56300667294738</v>
      </c>
      <c r="H47" s="38">
        <f t="shared" si="11"/>
        <v>514.00595551256242</v>
      </c>
      <c r="I47" s="38">
        <f t="shared" si="11"/>
        <v>101.60082788561722</v>
      </c>
      <c r="J47" s="38">
        <f t="shared" si="11"/>
        <v>114.87349367501636</v>
      </c>
      <c r="K47" s="38">
        <f t="shared" si="11"/>
        <v>124.49476475066308</v>
      </c>
      <c r="L47" s="38">
        <f t="shared" si="11"/>
        <v>86.20987406640289</v>
      </c>
      <c r="M47" s="38">
        <f t="shared" si="11"/>
        <v>105.78892400918551</v>
      </c>
      <c r="N47" s="38">
        <f t="shared" si="11"/>
        <v>116.2377761110201</v>
      </c>
      <c r="O47" s="38">
        <f t="shared" si="11"/>
        <v>80.040940227742439</v>
      </c>
      <c r="P47" s="38">
        <f t="shared" si="11"/>
        <v>94.881508747423268</v>
      </c>
      <c r="Q47" s="38">
        <f t="shared" si="11"/>
        <v>104.88548157904781</v>
      </c>
      <c r="R47" s="38">
        <f t="shared" si="11"/>
        <v>-6.6525879320850763</v>
      </c>
      <c r="S47" s="38">
        <f t="shared" si="11"/>
        <v>-9.4039668916511268</v>
      </c>
      <c r="T47" s="38">
        <f t="shared" si="11"/>
        <v>-9.6503590372839074</v>
      </c>
      <c r="U47" s="38">
        <f t="shared" si="11"/>
        <v>0</v>
      </c>
      <c r="V47" s="38">
        <f t="shared" si="11"/>
        <v>0</v>
      </c>
      <c r="W47" s="38">
        <f t="shared" si="11"/>
        <v>0</v>
      </c>
      <c r="X47" s="38">
        <f>IF(ISNUMBER(X19),O19*$E$19/X19,0)</f>
        <v>439.76122316214736</v>
      </c>
      <c r="Y47" s="38">
        <f>IF(ISNUMBER(Y19),P19*$E$19/Y19,0)</f>
        <v>503.27008299699395</v>
      </c>
      <c r="Z47" s="38">
        <f>IF(ISNUMBER(Z19),Q19*$E$19/Z19,0)</f>
        <v>561.90657655120435</v>
      </c>
    </row>
    <row r="48" spans="2:26" ht="13.95" customHeight="1" x14ac:dyDescent="0.3">
      <c r="B48" s="16" t="s">
        <v>47</v>
      </c>
      <c r="C48" s="16" t="str">
        <f t="shared" si="0"/>
        <v>Cyclicals ex-WEG &amp; Embraer</v>
      </c>
      <c r="D48" s="38">
        <f t="shared" si="0"/>
        <v>488.82397753510378</v>
      </c>
      <c r="F48" s="38">
        <f t="shared" ref="F48:W48" si="12">F20*$E$20</f>
        <v>88.845094370437948</v>
      </c>
      <c r="G48" s="38">
        <f t="shared" si="12"/>
        <v>98.415311919608499</v>
      </c>
      <c r="H48" s="38">
        <f t="shared" si="12"/>
        <v>110.55018579366254</v>
      </c>
      <c r="I48" s="38">
        <f t="shared" si="12"/>
        <v>67.086010182478972</v>
      </c>
      <c r="J48" s="38">
        <f t="shared" si="12"/>
        <v>73.511149185871332</v>
      </c>
      <c r="K48" s="38">
        <f t="shared" si="12"/>
        <v>82.284973455209624</v>
      </c>
      <c r="L48" s="38">
        <f t="shared" si="12"/>
        <v>56.602415029884995</v>
      </c>
      <c r="M48" s="38">
        <f t="shared" si="12"/>
        <v>61.13780726757372</v>
      </c>
      <c r="N48" s="38">
        <f t="shared" si="12"/>
        <v>72.620268567753911</v>
      </c>
      <c r="O48" s="38">
        <f t="shared" si="12"/>
        <v>31.146104286385732</v>
      </c>
      <c r="P48" s="38">
        <f t="shared" si="12"/>
        <v>36.290858866866778</v>
      </c>
      <c r="Q48" s="38">
        <f t="shared" si="12"/>
        <v>42.038766622195681</v>
      </c>
      <c r="R48" s="38">
        <f t="shared" si="12"/>
        <v>-27.671291926374629</v>
      </c>
      <c r="S48" s="38">
        <f t="shared" si="12"/>
        <v>-18.519518303895605</v>
      </c>
      <c r="T48" s="38">
        <f t="shared" si="12"/>
        <v>-13.768155007269328</v>
      </c>
      <c r="U48" s="38">
        <f t="shared" si="12"/>
        <v>0</v>
      </c>
      <c r="V48" s="38">
        <f t="shared" si="12"/>
        <v>0</v>
      </c>
      <c r="W48" s="38">
        <f t="shared" si="12"/>
        <v>0</v>
      </c>
      <c r="X48" s="38">
        <f>IF(ISNUMBER(X20),O20*$E$20/X20,0)</f>
        <v>260.02758629475483</v>
      </c>
      <c r="Y48" s="38">
        <f>IF(ISNUMBER(Y20),P20*$E$20/Y20,0)</f>
        <v>288.0226894195776</v>
      </c>
      <c r="Z48" s="38">
        <f>IF(ISNUMBER(Z20),Q20*$E$20/Z20,0)</f>
        <v>297.93597889578797</v>
      </c>
    </row>
    <row r="49" spans="2:26" ht="13.95" customHeight="1" x14ac:dyDescent="0.3">
      <c r="B49" s="16" t="s">
        <v>48</v>
      </c>
      <c r="C49" s="16" t="str">
        <f t="shared" si="0"/>
        <v>Cyclicals ex-WEG &amp; Embraer</v>
      </c>
      <c r="D49" s="38">
        <f t="shared" si="0"/>
        <v>373.09240518387981</v>
      </c>
      <c r="F49" s="38">
        <f t="shared" ref="F49:W49" si="13">F21*$E$21</f>
        <v>492.54174049561243</v>
      </c>
      <c r="G49" s="38">
        <f t="shared" si="13"/>
        <v>518.40478024383356</v>
      </c>
      <c r="H49" s="38">
        <f t="shared" si="13"/>
        <v>541.1187450453574</v>
      </c>
      <c r="I49" s="38">
        <f t="shared" si="13"/>
        <v>152.06592559681576</v>
      </c>
      <c r="J49" s="38">
        <f t="shared" si="13"/>
        <v>157.51667898694393</v>
      </c>
      <c r="K49" s="38">
        <f t="shared" si="13"/>
        <v>163.61045678249181</v>
      </c>
      <c r="L49" s="38">
        <f t="shared" si="13"/>
        <v>90.097813187070841</v>
      </c>
      <c r="M49" s="38">
        <f t="shared" si="13"/>
        <v>94.403459743593885</v>
      </c>
      <c r="N49" s="38">
        <f t="shared" si="13"/>
        <v>102.33621256836268</v>
      </c>
      <c r="O49" s="38">
        <f t="shared" si="13"/>
        <v>44.716360166798808</v>
      </c>
      <c r="P49" s="38">
        <f t="shared" si="13"/>
        <v>54.109393377421043</v>
      </c>
      <c r="Q49" s="38">
        <f t="shared" si="13"/>
        <v>60.376391479949902</v>
      </c>
      <c r="R49" s="38">
        <f t="shared" si="13"/>
        <v>-35.777578836437826</v>
      </c>
      <c r="S49" s="38">
        <f t="shared" si="13"/>
        <v>-36.836512922688712</v>
      </c>
      <c r="T49" s="38">
        <f t="shared" si="13"/>
        <v>-35.802253028738818</v>
      </c>
      <c r="U49" s="38">
        <f t="shared" si="13"/>
        <v>0</v>
      </c>
      <c r="V49" s="38">
        <f t="shared" si="13"/>
        <v>0</v>
      </c>
      <c r="W49" s="38">
        <f t="shared" si="13"/>
        <v>0</v>
      </c>
      <c r="X49" s="38">
        <f>IF(ISNUMBER(X21),O21*$E$21/X21,0)</f>
        <v>817.78273896852249</v>
      </c>
      <c r="Y49" s="38">
        <f>IF(ISNUMBER(Y21),P21*$E$21/Y21,0)</f>
        <v>978.47004299133891</v>
      </c>
      <c r="Z49" s="38">
        <f>IF(ISNUMBER(Z21),Q21*$E$21/Z21,0)</f>
        <v>584.13691447319957</v>
      </c>
    </row>
    <row r="50" spans="2:26" ht="13.95" customHeight="1" x14ac:dyDescent="0.3">
      <c r="B50" s="16" t="s">
        <v>49</v>
      </c>
      <c r="C50" s="16" t="str">
        <f t="shared" si="0"/>
        <v>Cyclicals ex-WEG &amp; Embraer</v>
      </c>
      <c r="D50" s="38">
        <f t="shared" si="0"/>
        <v>351.67065054086191</v>
      </c>
      <c r="F50" s="38">
        <f t="shared" ref="F50:W50" si="14">F22*$E$22</f>
        <v>241.7590599205416</v>
      </c>
      <c r="G50" s="38">
        <f t="shared" si="14"/>
        <v>280.9662740360543</v>
      </c>
      <c r="H50" s="38">
        <f t="shared" si="14"/>
        <v>307.20561605275884</v>
      </c>
      <c r="I50" s="38">
        <f t="shared" si="14"/>
        <v>58.166640631284245</v>
      </c>
      <c r="J50" s="38">
        <f t="shared" si="14"/>
        <v>67.927117550254764</v>
      </c>
      <c r="K50" s="38">
        <f t="shared" si="14"/>
        <v>73.108255896231597</v>
      </c>
      <c r="L50" s="38">
        <f t="shared" si="14"/>
        <v>57.526319383609845</v>
      </c>
      <c r="M50" s="38">
        <f t="shared" si="14"/>
        <v>66.979017581322495</v>
      </c>
      <c r="N50" s="38">
        <f t="shared" si="14"/>
        <v>72.069748384656535</v>
      </c>
      <c r="O50" s="38">
        <f t="shared" si="14"/>
        <v>43.519981939590387</v>
      </c>
      <c r="P50" s="38">
        <f t="shared" si="14"/>
        <v>51.434741706355581</v>
      </c>
      <c r="Q50" s="38">
        <f t="shared" si="14"/>
        <v>56.054641819894101</v>
      </c>
      <c r="R50" s="38">
        <f t="shared" si="14"/>
        <v>-1.9339352600110722</v>
      </c>
      <c r="S50" s="38">
        <f t="shared" si="14"/>
        <v>-3.1650501450425113</v>
      </c>
      <c r="T50" s="38">
        <f t="shared" si="14"/>
        <v>-3.3395760099703398</v>
      </c>
      <c r="U50" s="38">
        <f t="shared" si="14"/>
        <v>0</v>
      </c>
      <c r="V50" s="38">
        <f t="shared" si="14"/>
        <v>0</v>
      </c>
      <c r="W50" s="38">
        <f t="shared" si="14"/>
        <v>0</v>
      </c>
      <c r="X50" s="38">
        <f>IF(ISNUMBER(X22),O22*$E$22/X22,0)</f>
        <v>54.778634737108241</v>
      </c>
      <c r="Y50" s="38">
        <f>IF(ISNUMBER(Y22),P22*$E$22/Y22,0)</f>
        <v>67.528019255272</v>
      </c>
      <c r="Z50" s="38">
        <f>IF(ISNUMBER(Z22),Q22*$E$22/Z22,0)</f>
        <v>78.251447385171986</v>
      </c>
    </row>
    <row r="51" spans="2:26" ht="13.95" customHeight="1" x14ac:dyDescent="0.3">
      <c r="B51" s="16" t="s">
        <v>50</v>
      </c>
      <c r="C51" s="16" t="str">
        <f t="shared" si="0"/>
        <v>Cyclicals ex-WEG &amp; Embraer</v>
      </c>
      <c r="D51" s="38">
        <f t="shared" si="0"/>
        <v>268.23831248938302</v>
      </c>
      <c r="F51" s="38">
        <f t="shared" ref="F51:W51" si="15">F23*$E$23</f>
        <v>234.05980251468279</v>
      </c>
      <c r="G51" s="38">
        <f t="shared" si="15"/>
        <v>275.87070172512136</v>
      </c>
      <c r="H51" s="38">
        <f t="shared" si="15"/>
        <v>292.96503377895732</v>
      </c>
      <c r="I51" s="38">
        <f t="shared" si="15"/>
        <v>61.881498120641339</v>
      </c>
      <c r="J51" s="38">
        <f t="shared" si="15"/>
        <v>71.865524231034314</v>
      </c>
      <c r="K51" s="38">
        <f t="shared" si="15"/>
        <v>75.613773289167369</v>
      </c>
      <c r="L51" s="38">
        <f t="shared" si="15"/>
        <v>56.413949927267062</v>
      </c>
      <c r="M51" s="38">
        <f t="shared" si="15"/>
        <v>66.22545631311182</v>
      </c>
      <c r="N51" s="38">
        <f t="shared" si="15"/>
        <v>70.109361906787086</v>
      </c>
      <c r="O51" s="38">
        <f t="shared" si="15"/>
        <v>40.688909742177472</v>
      </c>
      <c r="P51" s="38">
        <f t="shared" si="15"/>
        <v>49.250577077410625</v>
      </c>
      <c r="Q51" s="38">
        <f t="shared" si="15"/>
        <v>53.082992168682253</v>
      </c>
      <c r="R51" s="38">
        <f t="shared" si="15"/>
        <v>-5.1225087442778374</v>
      </c>
      <c r="S51" s="38">
        <f t="shared" si="15"/>
        <v>-5.4188887838863131</v>
      </c>
      <c r="T51" s="38">
        <f t="shared" si="15"/>
        <v>-5.6953627014315327</v>
      </c>
      <c r="U51" s="38">
        <f t="shared" si="15"/>
        <v>0</v>
      </c>
      <c r="V51" s="38">
        <f t="shared" si="15"/>
        <v>0</v>
      </c>
      <c r="W51" s="38">
        <f t="shared" si="15"/>
        <v>0</v>
      </c>
      <c r="X51" s="38">
        <f>IF(ISNUMBER(X23),O23*$E$23/X23,0)</f>
        <v>99.754614582797998</v>
      </c>
      <c r="Y51" s="38">
        <f>IF(ISNUMBER(Y23),P23*$E$23/Y23,0)</f>
        <v>125.1984774960868</v>
      </c>
      <c r="Z51" s="38">
        <f>IF(ISNUMBER(Z23),Q23*$E$23/Z23,0)</f>
        <v>146.44392012988922</v>
      </c>
    </row>
    <row r="52" spans="2:26" ht="13.95" customHeight="1" x14ac:dyDescent="0.3">
      <c r="B52" s="16" t="s">
        <v>51</v>
      </c>
      <c r="C52" s="16" t="str">
        <f t="shared" si="0"/>
        <v>Cyclicals ex-WEG &amp; Embraer</v>
      </c>
      <c r="D52" s="38">
        <f t="shared" si="0"/>
        <v>262.49334278714252</v>
      </c>
      <c r="F52" s="38">
        <f t="shared" ref="F52:W52" si="16">F24*$E$24</f>
        <v>1303.9092073623933</v>
      </c>
      <c r="G52" s="38">
        <f t="shared" si="16"/>
        <v>1387.092345524605</v>
      </c>
      <c r="H52" s="38">
        <f t="shared" si="16"/>
        <v>1445.8776482985322</v>
      </c>
      <c r="I52" s="38">
        <f t="shared" si="16"/>
        <v>99.201366633747895</v>
      </c>
      <c r="J52" s="38">
        <f t="shared" si="16"/>
        <v>108.74251190088552</v>
      </c>
      <c r="K52" s="38">
        <f t="shared" si="16"/>
        <v>114.6375239882708</v>
      </c>
      <c r="L52" s="38">
        <f t="shared" si="16"/>
        <v>58.413707954081261</v>
      </c>
      <c r="M52" s="38">
        <f t="shared" si="16"/>
        <v>65.821183274017997</v>
      </c>
      <c r="N52" s="38">
        <f t="shared" si="16"/>
        <v>71.580709623935221</v>
      </c>
      <c r="O52" s="38">
        <f t="shared" si="16"/>
        <v>5.0375809202660529</v>
      </c>
      <c r="P52" s="38">
        <f t="shared" si="16"/>
        <v>14.516329014433712</v>
      </c>
      <c r="Q52" s="38">
        <f t="shared" si="16"/>
        <v>21.609355762782371</v>
      </c>
      <c r="R52" s="38">
        <f t="shared" si="16"/>
        <v>-30.355125227243587</v>
      </c>
      <c r="S52" s="38">
        <f t="shared" si="16"/>
        <v>-32.350676089309417</v>
      </c>
      <c r="T52" s="38">
        <f t="shared" si="16"/>
        <v>-33.824824113305773</v>
      </c>
      <c r="U52" s="38">
        <f t="shared" si="16"/>
        <v>0</v>
      </c>
      <c r="V52" s="38">
        <f t="shared" si="16"/>
        <v>0</v>
      </c>
      <c r="W52" s="38">
        <f t="shared" si="16"/>
        <v>0</v>
      </c>
      <c r="X52" s="38">
        <f>IF(ISNUMBER(X24),O24*$E$24/X24,0)</f>
        <v>544.01521817127991</v>
      </c>
      <c r="Y52" s="38">
        <f>IF(ISNUMBER(Y24),P24*$E$24/Y24,0)</f>
        <v>423.95820719724628</v>
      </c>
      <c r="Z52" s="38">
        <f>IF(ISNUMBER(Z24),Q24*$E$24/Z24,0)</f>
        <v>440.55771177945707</v>
      </c>
    </row>
    <row r="53" spans="2:26" ht="13.95" customHeight="1" x14ac:dyDescent="0.3">
      <c r="B53" s="16" t="s">
        <v>52</v>
      </c>
      <c r="C53" s="16" t="str">
        <f t="shared" si="0"/>
        <v>Cyclicals ex-WEG &amp; Embraer</v>
      </c>
      <c r="D53" s="38">
        <f t="shared" si="0"/>
        <v>251.08459653594369</v>
      </c>
      <c r="F53" s="38">
        <f t="shared" ref="F53:W53" si="17">F25*$E$25</f>
        <v>351.98206985698403</v>
      </c>
      <c r="G53" s="38">
        <f t="shared" si="17"/>
        <v>414.32650686612527</v>
      </c>
      <c r="H53" s="38">
        <f t="shared" si="17"/>
        <v>462.13406239023607</v>
      </c>
      <c r="I53" s="38">
        <f t="shared" si="17"/>
        <v>61.609494056962781</v>
      </c>
      <c r="J53" s="38">
        <f t="shared" si="17"/>
        <v>74.973851424208462</v>
      </c>
      <c r="K53" s="38">
        <f t="shared" si="17"/>
        <v>84.761808767585677</v>
      </c>
      <c r="L53" s="38">
        <f t="shared" si="17"/>
        <v>56.551926109734467</v>
      </c>
      <c r="M53" s="38">
        <f t="shared" si="17"/>
        <v>68.929912672740627</v>
      </c>
      <c r="N53" s="38">
        <f t="shared" si="17"/>
        <v>78.803291017138534</v>
      </c>
      <c r="O53" s="38">
        <f t="shared" si="17"/>
        <v>45.023717335184671</v>
      </c>
      <c r="P53" s="38">
        <f t="shared" si="17"/>
        <v>56.793683659793182</v>
      </c>
      <c r="Q53" s="38">
        <f t="shared" si="17"/>
        <v>66.260899649790431</v>
      </c>
      <c r="R53" s="38">
        <f t="shared" si="17"/>
        <v>-6.5255197911848191</v>
      </c>
      <c r="S53" s="38">
        <f t="shared" si="17"/>
        <v>-6.2998794111300196</v>
      </c>
      <c r="T53" s="38">
        <f t="shared" si="17"/>
        <v>-7.0580310881141486</v>
      </c>
      <c r="U53" s="38">
        <f t="shared" si="17"/>
        <v>0</v>
      </c>
      <c r="V53" s="38">
        <f t="shared" si="17"/>
        <v>0</v>
      </c>
      <c r="W53" s="38">
        <f t="shared" si="17"/>
        <v>0</v>
      </c>
      <c r="X53" s="38">
        <f>IF(ISNUMBER(X25),O25*$E$25/X25,0)</f>
        <v>98.695099268253742</v>
      </c>
      <c r="Y53" s="38">
        <f>IF(ISNUMBER(Y25),P25*$E$25/Y25,0)</f>
        <v>140.89928465761929</v>
      </c>
      <c r="Z53" s="38">
        <f>IF(ISNUMBER(Z25),Q25*$E$25/Z25,0)</f>
        <v>174.30657034195411</v>
      </c>
    </row>
    <row r="54" spans="2:26" ht="13.95" customHeight="1" x14ac:dyDescent="0.3">
      <c r="B54" s="16" t="s">
        <v>53</v>
      </c>
      <c r="C54" s="16" t="str">
        <f t="shared" si="0"/>
        <v>Cyclicals ex-WEG &amp; Embraer</v>
      </c>
      <c r="D54" s="38">
        <f t="shared" si="0"/>
        <v>246.63343788590109</v>
      </c>
      <c r="F54" s="38">
        <f t="shared" ref="F54:W54" si="18">F26*$E$26</f>
        <v>381.44799998869496</v>
      </c>
      <c r="G54" s="38">
        <f t="shared" si="18"/>
        <v>410.93753395458668</v>
      </c>
      <c r="H54" s="38">
        <f t="shared" si="18"/>
        <v>437.25512021362562</v>
      </c>
      <c r="I54" s="38">
        <f t="shared" si="18"/>
        <v>61.00677275780852</v>
      </c>
      <c r="J54" s="38">
        <f t="shared" si="18"/>
        <v>67.510329968838974</v>
      </c>
      <c r="K54" s="38">
        <f t="shared" si="18"/>
        <v>72.193742690366619</v>
      </c>
      <c r="L54" s="38">
        <f t="shared" si="18"/>
        <v>52.757579896026861</v>
      </c>
      <c r="M54" s="38">
        <f t="shared" si="18"/>
        <v>58.186081005070278</v>
      </c>
      <c r="N54" s="38">
        <f t="shared" si="18"/>
        <v>62.161659758457958</v>
      </c>
      <c r="O54" s="38">
        <f t="shared" si="18"/>
        <v>46.046462348474165</v>
      </c>
      <c r="P54" s="38">
        <f t="shared" si="18"/>
        <v>47.792097999225376</v>
      </c>
      <c r="Q54" s="38">
        <f t="shared" si="18"/>
        <v>51.033232484918948</v>
      </c>
      <c r="R54" s="38">
        <f t="shared" si="18"/>
        <v>-13.107473266093631</v>
      </c>
      <c r="S54" s="38">
        <f t="shared" si="18"/>
        <v>-13.946838143458328</v>
      </c>
      <c r="T54" s="38">
        <f t="shared" si="18"/>
        <v>-15.005167771439899</v>
      </c>
      <c r="U54" s="38">
        <f t="shared" si="18"/>
        <v>0</v>
      </c>
      <c r="V54" s="38">
        <f t="shared" si="18"/>
        <v>0</v>
      </c>
      <c r="W54" s="38">
        <f t="shared" si="18"/>
        <v>0</v>
      </c>
      <c r="X54" s="38">
        <f>IF(ISNUMBER(X26),O26*$E$26/X26,0)</f>
        <v>174.4382405139757</v>
      </c>
      <c r="Y54" s="38">
        <f>IF(ISNUMBER(Y26),P26*$E$26/Y26,0)</f>
        <v>196.12646913667669</v>
      </c>
      <c r="Z54" s="38">
        <f>IF(ISNUMBER(Z26),Q26*$E$26/Z26,0)</f>
        <v>212.88683666326943</v>
      </c>
    </row>
    <row r="55" spans="2:26" ht="13.95" customHeight="1" x14ac:dyDescent="0.3">
      <c r="B55" s="16" t="s">
        <v>54</v>
      </c>
      <c r="C55" s="16" t="str">
        <f t="shared" si="0"/>
        <v>Cyclicals ex-WEG &amp; Embraer</v>
      </c>
      <c r="D55" s="38">
        <f t="shared" si="0"/>
        <v>246.62878558659281</v>
      </c>
      <c r="F55" s="38">
        <f t="shared" ref="F55:W55" si="19">F27*$E$27</f>
        <v>124.80968271475238</v>
      </c>
      <c r="G55" s="38">
        <f t="shared" si="19"/>
        <v>140.23094293696673</v>
      </c>
      <c r="H55" s="38">
        <f t="shared" si="19"/>
        <v>155.03394706558538</v>
      </c>
      <c r="I55" s="38">
        <f t="shared" si="19"/>
        <v>33.618339111841784</v>
      </c>
      <c r="J55" s="38">
        <f t="shared" si="19"/>
        <v>37.943271362084666</v>
      </c>
      <c r="K55" s="38">
        <f t="shared" si="19"/>
        <v>43.488166313867652</v>
      </c>
      <c r="L55" s="38">
        <f t="shared" si="19"/>
        <v>29.304848481308522</v>
      </c>
      <c r="M55" s="38">
        <f t="shared" si="19"/>
        <v>33.283671735334892</v>
      </c>
      <c r="N55" s="38">
        <f t="shared" si="19"/>
        <v>37.328284302691678</v>
      </c>
      <c r="O55" s="38">
        <f t="shared" si="19"/>
        <v>23.171736999848168</v>
      </c>
      <c r="P55" s="38">
        <f t="shared" si="19"/>
        <v>27.336486574156144</v>
      </c>
      <c r="Q55" s="38">
        <f t="shared" si="19"/>
        <v>31.381499598202762</v>
      </c>
      <c r="R55" s="38">
        <f t="shared" si="19"/>
        <v>-4.7708693784260117</v>
      </c>
      <c r="S55" s="38">
        <f t="shared" si="19"/>
        <v>-5.2803074959976115</v>
      </c>
      <c r="T55" s="38">
        <f t="shared" si="19"/>
        <v>-5.2765889695919794</v>
      </c>
      <c r="U55" s="38">
        <f t="shared" si="19"/>
        <v>0</v>
      </c>
      <c r="V55" s="38">
        <f t="shared" si="19"/>
        <v>0</v>
      </c>
      <c r="W55" s="38">
        <f t="shared" si="19"/>
        <v>0</v>
      </c>
      <c r="X55" s="38">
        <f>IF(ISNUMBER(X27),O27*$E$27/X27,0)</f>
        <v>119.46041655847898</v>
      </c>
      <c r="Y55" s="38">
        <f>IF(ISNUMBER(Y27),P27*$E$27/Y27,0)</f>
        <v>137.40380283566799</v>
      </c>
      <c r="Z55" s="38">
        <f>IF(ISNUMBER(Z27),Q27*$E$27/Z27,0)</f>
        <v>155.50022099104487</v>
      </c>
    </row>
    <row r="56" spans="2:26" ht="13.95" customHeight="1" x14ac:dyDescent="0.3">
      <c r="B56" s="16" t="s">
        <v>55</v>
      </c>
      <c r="C56" s="16" t="str">
        <f t="shared" si="0"/>
        <v>Cyclicals ex-WEG &amp; Embraer</v>
      </c>
      <c r="D56" s="38">
        <f t="shared" si="0"/>
        <v>219.64420811770839</v>
      </c>
      <c r="F56" s="38">
        <f t="shared" ref="F56:W56" si="20">F28*$E$28</f>
        <v>345.20180674471169</v>
      </c>
      <c r="G56" s="38">
        <f t="shared" si="20"/>
        <v>363.3825843324164</v>
      </c>
      <c r="H56" s="38">
        <f t="shared" si="20"/>
        <v>380.60120646859338</v>
      </c>
      <c r="I56" s="38">
        <f t="shared" si="20"/>
        <v>112.08528591743314</v>
      </c>
      <c r="J56" s="38">
        <f t="shared" si="20"/>
        <v>117.03351395386117</v>
      </c>
      <c r="K56" s="38">
        <f t="shared" si="20"/>
        <v>121.63772676427898</v>
      </c>
      <c r="L56" s="38">
        <f t="shared" si="20"/>
        <v>61.080330485068757</v>
      </c>
      <c r="M56" s="38">
        <f t="shared" si="20"/>
        <v>69.585674546519598</v>
      </c>
      <c r="N56" s="38">
        <f t="shared" si="20"/>
        <v>74.613111506317992</v>
      </c>
      <c r="O56" s="38">
        <f t="shared" si="20"/>
        <v>21.455768370767576</v>
      </c>
      <c r="P56" s="38">
        <f t="shared" si="20"/>
        <v>31.210873790195194</v>
      </c>
      <c r="Q56" s="38">
        <f t="shared" si="20"/>
        <v>38.606112414999373</v>
      </c>
      <c r="R56" s="38">
        <f t="shared" si="20"/>
        <v>-25.888271766479953</v>
      </c>
      <c r="S56" s="38">
        <f t="shared" si="20"/>
        <v>-26.033643437606656</v>
      </c>
      <c r="T56" s="38">
        <f t="shared" si="20"/>
        <v>-26.760501793240159</v>
      </c>
      <c r="U56" s="38">
        <f t="shared" si="20"/>
        <v>0</v>
      </c>
      <c r="V56" s="38">
        <f t="shared" si="20"/>
        <v>0</v>
      </c>
      <c r="W56" s="38">
        <f t="shared" si="20"/>
        <v>0</v>
      </c>
      <c r="X56" s="38">
        <f>IF(ISNUMBER(X28),O28*$E$28/X28,0)</f>
        <v>201.55724162299273</v>
      </c>
      <c r="Y56" s="38">
        <f>IF(ISNUMBER(Y28),P28*$E$28/Y28,0)</f>
        <v>208.28077270734195</v>
      </c>
      <c r="Z56" s="38">
        <f>IF(ISNUMBER(Z28),Q28*$E$28/Z28,0)</f>
        <v>230.26429926636868</v>
      </c>
    </row>
    <row r="57" spans="2:26" ht="13.95" customHeight="1" x14ac:dyDescent="0.3">
      <c r="B57" s="16" t="s">
        <v>56</v>
      </c>
      <c r="C57" s="16" t="str">
        <f t="shared" si="0"/>
        <v>Cyclicals ex-WEG &amp; Embraer</v>
      </c>
      <c r="D57" s="38">
        <f t="shared" si="0"/>
        <v>218.86238573802251</v>
      </c>
      <c r="F57" s="38">
        <f t="shared" ref="F57:W57" si="21">F29*$E$29</f>
        <v>196.15607219868249</v>
      </c>
      <c r="G57" s="38">
        <f t="shared" si="21"/>
        <v>216.85028508671877</v>
      </c>
      <c r="H57" s="38">
        <f t="shared" si="21"/>
        <v>230.11962104035146</v>
      </c>
      <c r="I57" s="38">
        <f t="shared" si="21"/>
        <v>116.3705852291245</v>
      </c>
      <c r="J57" s="38">
        <f t="shared" si="21"/>
        <v>125.97428436828032</v>
      </c>
      <c r="K57" s="38">
        <f t="shared" si="21"/>
        <v>135.9579800842975</v>
      </c>
      <c r="L57" s="38">
        <f t="shared" si="21"/>
        <v>80.778010439977223</v>
      </c>
      <c r="M57" s="38">
        <f t="shared" si="21"/>
        <v>85.665088282412114</v>
      </c>
      <c r="N57" s="38">
        <f t="shared" si="21"/>
        <v>89.363239929308406</v>
      </c>
      <c r="O57" s="38">
        <f t="shared" si="21"/>
        <v>13.987289728065663</v>
      </c>
      <c r="P57" s="38">
        <f t="shared" si="21"/>
        <v>21.634187134343321</v>
      </c>
      <c r="Q57" s="38">
        <f t="shared" si="21"/>
        <v>31.963055713268027</v>
      </c>
      <c r="R57" s="38">
        <f t="shared" si="21"/>
        <v>-87.726003165562574</v>
      </c>
      <c r="S57" s="38">
        <f t="shared" si="21"/>
        <v>-100.98811360087984</v>
      </c>
      <c r="T57" s="38">
        <f t="shared" si="21"/>
        <v>-115.60008223057932</v>
      </c>
      <c r="U57" s="38">
        <f t="shared" si="21"/>
        <v>63.816010334485597</v>
      </c>
      <c r="V57" s="38">
        <f t="shared" si="21"/>
        <v>73.463491651969477</v>
      </c>
      <c r="W57" s="38">
        <f t="shared" si="21"/>
        <v>84.092923148127397</v>
      </c>
      <c r="X57" s="38">
        <f>IF(ISNUMBER(X29),O29*$E$29/X29,0)</f>
        <v>88.960692794413674</v>
      </c>
      <c r="Y57" s="38">
        <f>IF(ISNUMBER(Y29),P29*$E$29/Y29,0)</f>
        <v>103.3644870250517</v>
      </c>
      <c r="Z57" s="38">
        <f>IF(ISNUMBER(Z29),Q29*$E$29/Z29,0)</f>
        <v>120.96679299575379</v>
      </c>
    </row>
    <row r="58" spans="2:26" ht="13.95" customHeight="1" x14ac:dyDescent="0.3">
      <c r="B58" s="16" t="s">
        <v>57</v>
      </c>
      <c r="C58" s="16" t="str">
        <f t="shared" si="0"/>
        <v>Cyclicals ex-WEG &amp; Embraer</v>
      </c>
      <c r="D58" s="38">
        <f t="shared" si="0"/>
        <v>208.33727229401339</v>
      </c>
      <c r="F58" s="38">
        <f t="shared" ref="F58:W58" si="22">F30*$E$30</f>
        <v>492.82352479402033</v>
      </c>
      <c r="G58" s="38">
        <f t="shared" si="22"/>
        <v>523.16405970031269</v>
      </c>
      <c r="H58" s="38">
        <f t="shared" si="22"/>
        <v>553.33562476682062</v>
      </c>
      <c r="I58" s="38">
        <f t="shared" si="22"/>
        <v>69.402335929832844</v>
      </c>
      <c r="J58" s="38">
        <f t="shared" si="22"/>
        <v>78.122919685284771</v>
      </c>
      <c r="K58" s="38">
        <f t="shared" si="22"/>
        <v>84.236540198349871</v>
      </c>
      <c r="L58" s="38">
        <f t="shared" si="22"/>
        <v>45.109573623272148</v>
      </c>
      <c r="M58" s="38">
        <f t="shared" si="22"/>
        <v>52.376470867141883</v>
      </c>
      <c r="N58" s="38">
        <f t="shared" si="22"/>
        <v>60.931240706116938</v>
      </c>
      <c r="O58" s="38">
        <f t="shared" si="22"/>
        <v>17.156827350426859</v>
      </c>
      <c r="P58" s="38">
        <f t="shared" si="22"/>
        <v>24.757245981234849</v>
      </c>
      <c r="Q58" s="38">
        <f t="shared" si="22"/>
        <v>30.5459449130792</v>
      </c>
      <c r="R58" s="38">
        <f t="shared" si="22"/>
        <v>-16.142291831834843</v>
      </c>
      <c r="S58" s="38">
        <f t="shared" si="22"/>
        <v>-16.120797435254502</v>
      </c>
      <c r="T58" s="38">
        <f t="shared" si="22"/>
        <v>-17.496438816396221</v>
      </c>
      <c r="U58" s="38">
        <f t="shared" si="22"/>
        <v>0</v>
      </c>
      <c r="V58" s="38">
        <f t="shared" si="22"/>
        <v>0</v>
      </c>
      <c r="W58" s="38">
        <f t="shared" si="22"/>
        <v>0</v>
      </c>
      <c r="X58" s="38">
        <f>IF(ISNUMBER(X30),O30*$E$30/X30,0)</f>
        <v>299.00361363588109</v>
      </c>
      <c r="Y58" s="38">
        <f>IF(ISNUMBER(Y30),P30*$E$30/Y30,0)</f>
        <v>328.78148713459291</v>
      </c>
      <c r="Z58" s="38">
        <f>IF(ISNUMBER(Z30),Q30*$E$30/Z30,0)</f>
        <v>335.0805716660729</v>
      </c>
    </row>
    <row r="59" spans="2:26" ht="13.95" customHeight="1" x14ac:dyDescent="0.3">
      <c r="B59" s="16" t="s">
        <v>58</v>
      </c>
      <c r="C59" s="16" t="str">
        <f t="shared" si="0"/>
        <v>Cyclicals ex-WEG &amp; Embraer</v>
      </c>
      <c r="D59" s="38">
        <f t="shared" si="0"/>
        <v>180.49236400153819</v>
      </c>
      <c r="F59" s="38">
        <f t="shared" ref="F59:W59" si="23">F31*$E$31</f>
        <v>391.76911341974107</v>
      </c>
      <c r="G59" s="38">
        <f t="shared" si="23"/>
        <v>422.51622935669394</v>
      </c>
      <c r="H59" s="38">
        <f t="shared" si="23"/>
        <v>454.88468410822821</v>
      </c>
      <c r="I59" s="38">
        <f t="shared" si="23"/>
        <v>77.041458428436542</v>
      </c>
      <c r="J59" s="38">
        <f t="shared" si="23"/>
        <v>79.296086693521147</v>
      </c>
      <c r="K59" s="38">
        <f t="shared" si="23"/>
        <v>85.946863047382649</v>
      </c>
      <c r="L59" s="38">
        <f t="shared" si="23"/>
        <v>44.562322354148293</v>
      </c>
      <c r="M59" s="38">
        <f t="shared" si="23"/>
        <v>47.669694010295586</v>
      </c>
      <c r="N59" s="38">
        <f t="shared" si="23"/>
        <v>51.81752194169939</v>
      </c>
      <c r="O59" s="38">
        <f t="shared" si="23"/>
        <v>24.151462982003878</v>
      </c>
      <c r="P59" s="38">
        <f t="shared" si="23"/>
        <v>25.549500283877716</v>
      </c>
      <c r="Q59" s="38">
        <f t="shared" si="23"/>
        <v>27.345803718737635</v>
      </c>
      <c r="R59" s="38">
        <f t="shared" si="23"/>
        <v>-29.494035989815011</v>
      </c>
      <c r="S59" s="38">
        <f t="shared" si="23"/>
        <v>-32.718383992091397</v>
      </c>
      <c r="T59" s="38">
        <f t="shared" si="23"/>
        <v>-35.045413441796292</v>
      </c>
      <c r="U59" s="38">
        <f t="shared" si="23"/>
        <v>0</v>
      </c>
      <c r="V59" s="38">
        <f t="shared" si="23"/>
        <v>0</v>
      </c>
      <c r="W59" s="38">
        <f t="shared" si="23"/>
        <v>0</v>
      </c>
      <c r="X59" s="38">
        <f>IF(ISNUMBER(X31),O31*$E$31/X31,0)</f>
        <v>183.47992845099049</v>
      </c>
      <c r="Y59" s="38">
        <f>IF(ISNUMBER(Y31),P31*$E$31/Y31,0)</f>
        <v>198.28871000293145</v>
      </c>
      <c r="Z59" s="38">
        <f>IF(ISNUMBER(Z31),Q31*$E$31/Z31,0)</f>
        <v>220.12238363308086</v>
      </c>
    </row>
    <row r="60" spans="2:26" ht="13.95" customHeight="1" x14ac:dyDescent="0.3">
      <c r="B60" s="16" t="s">
        <v>59</v>
      </c>
      <c r="C60" s="16" t="str">
        <f t="shared" si="0"/>
        <v>Cyclicals ex-WEG &amp; Embraer</v>
      </c>
      <c r="D60" s="38">
        <f t="shared" si="0"/>
        <v>167.88482367731299</v>
      </c>
      <c r="F60" s="38">
        <f t="shared" ref="F60:W60" si="24">F32*$E$32</f>
        <v>552.29487066863624</v>
      </c>
      <c r="G60" s="38">
        <f t="shared" si="24"/>
        <v>560.31733071401004</v>
      </c>
      <c r="H60" s="38">
        <f t="shared" si="24"/>
        <v>568.27604055408733</v>
      </c>
      <c r="I60" s="38">
        <f t="shared" si="24"/>
        <v>56.31491819387255</v>
      </c>
      <c r="J60" s="38">
        <f t="shared" si="24"/>
        <v>101.29124724233914</v>
      </c>
      <c r="K60" s="38">
        <f t="shared" si="24"/>
        <v>99.22439848117223</v>
      </c>
      <c r="L60" s="38">
        <f t="shared" si="24"/>
        <v>38.4872292041536</v>
      </c>
      <c r="M60" s="38">
        <f t="shared" si="24"/>
        <v>83.096714966006161</v>
      </c>
      <c r="N60" s="38">
        <f t="shared" si="24"/>
        <v>84.717312290102953</v>
      </c>
      <c r="O60" s="38">
        <f t="shared" si="24"/>
        <v>-18.535875480828736</v>
      </c>
      <c r="P60" s="38">
        <f t="shared" si="24"/>
        <v>30.499453744159574</v>
      </c>
      <c r="Q60" s="38">
        <f t="shared" si="24"/>
        <v>40.88067138547521</v>
      </c>
      <c r="R60" s="38">
        <f t="shared" si="24"/>
        <v>-6.8910616650724164</v>
      </c>
      <c r="S60" s="38">
        <f t="shared" si="24"/>
        <v>-10.782843934678754</v>
      </c>
      <c r="T60" s="38">
        <f t="shared" si="24"/>
        <v>-12.685284271661937</v>
      </c>
      <c r="U60" s="38">
        <f t="shared" si="24"/>
        <v>0</v>
      </c>
      <c r="V60" s="38">
        <f t="shared" si="24"/>
        <v>0</v>
      </c>
      <c r="W60" s="38">
        <f t="shared" si="24"/>
        <v>0</v>
      </c>
      <c r="X60" s="38">
        <f>IF(ISNUMBER(X32),O32*$E$32/X32,0)</f>
        <v>231.12064190559522</v>
      </c>
      <c r="Y60" s="38">
        <f>IF(ISNUMBER(Y32),P32*$E$32/Y32,0)</f>
        <v>216.92356859288458</v>
      </c>
      <c r="Z60" s="38">
        <f>IF(ISNUMBER(Z32),Q32*$E$32/Z32,0)</f>
        <v>277.00685313372554</v>
      </c>
    </row>
    <row r="61" spans="2:26" ht="13.95" customHeight="1" x14ac:dyDescent="0.3">
      <c r="B61" s="39" t="s">
        <v>35</v>
      </c>
      <c r="D61" s="40">
        <f>SUMIFS(D37:D60,$C$37:$C$60,"WEG &amp; Embraer")</f>
        <v>10204.555109283054</v>
      </c>
      <c r="F61" s="40">
        <f t="shared" ref="F61:Z61" si="25">SUMIFS(F37:F60,$C$37:$C$60,"WEG &amp; Embraer")</f>
        <v>4279.3754778032599</v>
      </c>
      <c r="G61" s="40">
        <f t="shared" si="25"/>
        <v>4833.9714626348414</v>
      </c>
      <c r="H61" s="40">
        <f t="shared" si="25"/>
        <v>5426.5027656094881</v>
      </c>
      <c r="I61" s="40">
        <f t="shared" si="25"/>
        <v>652.14516693210498</v>
      </c>
      <c r="J61" s="40">
        <f t="shared" si="25"/>
        <v>752.03278314912859</v>
      </c>
      <c r="K61" s="40">
        <f t="shared" si="25"/>
        <v>868.31406749191524</v>
      </c>
      <c r="L61" s="40">
        <f t="shared" si="25"/>
        <v>532.84218490049693</v>
      </c>
      <c r="M61" s="40">
        <f t="shared" si="25"/>
        <v>625.97779648005701</v>
      </c>
      <c r="N61" s="40">
        <f t="shared" si="25"/>
        <v>725.78322667903376</v>
      </c>
      <c r="O61" s="40">
        <f t="shared" si="25"/>
        <v>375.57790313794072</v>
      </c>
      <c r="P61" s="40">
        <f t="shared" si="25"/>
        <v>451.77901379101081</v>
      </c>
      <c r="Q61" s="40">
        <f t="shared" si="25"/>
        <v>537.77011115664732</v>
      </c>
      <c r="R61" s="40">
        <f t="shared" si="25"/>
        <v>-219.64027284801608</v>
      </c>
      <c r="S61" s="40">
        <f t="shared" si="25"/>
        <v>-222.86895065702402</v>
      </c>
      <c r="T61" s="40">
        <f t="shared" si="25"/>
        <v>-232.66716198116475</v>
      </c>
      <c r="U61" s="40">
        <f t="shared" si="25"/>
        <v>0</v>
      </c>
      <c r="V61" s="40">
        <f t="shared" si="25"/>
        <v>0</v>
      </c>
      <c r="W61" s="40">
        <f t="shared" si="25"/>
        <v>0</v>
      </c>
      <c r="X61" s="40">
        <f t="shared" si="25"/>
        <v>1835.01785068499</v>
      </c>
      <c r="Y61" s="40">
        <f t="shared" si="25"/>
        <v>2134.8092086642146</v>
      </c>
      <c r="Z61" s="40">
        <f t="shared" si="25"/>
        <v>2491.4650715346602</v>
      </c>
    </row>
    <row r="62" spans="2:26" ht="13.95" customHeight="1" x14ac:dyDescent="0.3">
      <c r="B62" s="23" t="s">
        <v>38</v>
      </c>
      <c r="D62" s="28">
        <f>SUMIFS(D37:D60,$C$37:$C$60,"Cyclicals ex-WEG &amp; Embraer")</f>
        <v>16066.51953698895</v>
      </c>
      <c r="F62" s="28">
        <f t="shared" ref="F62:Z62" si="26">SUMIFS(F37:F60,$C$37:$C$60,"Cyclicals ex-WEG &amp; Embraer")</f>
        <v>12657.226971408998</v>
      </c>
      <c r="G62" s="28">
        <f t="shared" si="26"/>
        <v>13704.692245389617</v>
      </c>
      <c r="H62" s="28">
        <f t="shared" si="26"/>
        <v>14680.717672312305</v>
      </c>
      <c r="I62" s="28">
        <f t="shared" si="26"/>
        <v>3683.3442736667066</v>
      </c>
      <c r="J62" s="28">
        <f t="shared" si="26"/>
        <v>4066.1866780309333</v>
      </c>
      <c r="K62" s="28">
        <f t="shared" si="26"/>
        <v>4413.0871491048774</v>
      </c>
      <c r="L62" s="28">
        <f t="shared" si="26"/>
        <v>2576.2818802040465</v>
      </c>
      <c r="M62" s="28">
        <f t="shared" si="26"/>
        <v>2902.4362370882859</v>
      </c>
      <c r="N62" s="28">
        <f t="shared" si="26"/>
        <v>3198.313968897538</v>
      </c>
      <c r="O62" s="28">
        <f t="shared" si="26"/>
        <v>1231.4675927815183</v>
      </c>
      <c r="P62" s="28">
        <f t="shared" si="26"/>
        <v>1493.131649479622</v>
      </c>
      <c r="Q62" s="28">
        <f t="shared" si="26"/>
        <v>1766.5305307486246</v>
      </c>
      <c r="R62" s="28">
        <f t="shared" si="26"/>
        <v>-2719.533806579569</v>
      </c>
      <c r="S62" s="28">
        <f t="shared" si="26"/>
        <v>-2794.0286697270649</v>
      </c>
      <c r="T62" s="28">
        <f t="shared" si="26"/>
        <v>-2813.5172573470791</v>
      </c>
      <c r="U62" s="28">
        <f t="shared" si="26"/>
        <v>1139.2256909387322</v>
      </c>
      <c r="V62" s="28">
        <f t="shared" si="26"/>
        <v>1275.9850813340111</v>
      </c>
      <c r="W62" s="28">
        <f t="shared" si="26"/>
        <v>1278.3036270479079</v>
      </c>
      <c r="X62" s="28">
        <f t="shared" si="26"/>
        <v>9371.7258830731807</v>
      </c>
      <c r="Y62" s="28">
        <f t="shared" si="26"/>
        <v>10086.876277734378</v>
      </c>
      <c r="Z62" s="28">
        <f t="shared" si="26"/>
        <v>10377.002134279603</v>
      </c>
    </row>
    <row r="63" spans="2:26" ht="13.95" customHeight="1" x14ac:dyDescent="0.3">
      <c r="B63" s="23" t="s">
        <v>64</v>
      </c>
      <c r="D63" s="28">
        <f>SUM(D37:D60)</f>
        <v>26271.074646272005</v>
      </c>
      <c r="F63" s="28">
        <f t="shared" ref="F63:Z63" si="27">SUM(F37:F60)</f>
        <v>16936.602449212252</v>
      </c>
      <c r="G63" s="28">
        <f t="shared" si="27"/>
        <v>18538.663708024458</v>
      </c>
      <c r="H63" s="28">
        <f t="shared" si="27"/>
        <v>20107.220437921791</v>
      </c>
      <c r="I63" s="28">
        <f t="shared" si="27"/>
        <v>4335.4894405988107</v>
      </c>
      <c r="J63" s="28">
        <f t="shared" si="27"/>
        <v>4818.2194611800624</v>
      </c>
      <c r="K63" s="28">
        <f t="shared" si="27"/>
        <v>5281.4012165967924</v>
      </c>
      <c r="L63" s="28">
        <f t="shared" si="27"/>
        <v>3109.1240651045437</v>
      </c>
      <c r="M63" s="28">
        <f t="shared" si="27"/>
        <v>3528.4140335683433</v>
      </c>
      <c r="N63" s="28">
        <f t="shared" si="27"/>
        <v>3924.0971955765717</v>
      </c>
      <c r="O63" s="28">
        <f t="shared" si="27"/>
        <v>1607.045495919459</v>
      </c>
      <c r="P63" s="28">
        <f t="shared" si="27"/>
        <v>1944.910663270633</v>
      </c>
      <c r="Q63" s="28">
        <f t="shared" si="27"/>
        <v>2304.3006419052722</v>
      </c>
      <c r="R63" s="28">
        <f t="shared" si="27"/>
        <v>-2939.1740794275852</v>
      </c>
      <c r="S63" s="28">
        <f t="shared" si="27"/>
        <v>-3016.8976203840884</v>
      </c>
      <c r="T63" s="28">
        <f t="shared" si="27"/>
        <v>-3046.1844193282436</v>
      </c>
      <c r="U63" s="28">
        <f t="shared" si="27"/>
        <v>1139.2256909387322</v>
      </c>
      <c r="V63" s="28">
        <f t="shared" si="27"/>
        <v>1275.9850813340111</v>
      </c>
      <c r="W63" s="28">
        <f t="shared" si="27"/>
        <v>1278.3036270479079</v>
      </c>
      <c r="X63" s="28">
        <f t="shared" si="27"/>
        <v>11206.743733758169</v>
      </c>
      <c r="Y63" s="28">
        <f t="shared" si="27"/>
        <v>12221.685486398595</v>
      </c>
      <c r="Z63" s="28">
        <f t="shared" si="27"/>
        <v>12868.467205814262</v>
      </c>
    </row>
    <row r="64" spans="2:26" ht="13.95" customHeight="1" x14ac:dyDescent="0.3">
      <c r="B64" s="16" t="s">
        <v>65</v>
      </c>
      <c r="O64" s="38">
        <f>O63-1607.0455</f>
        <v>-4.0805409753374988E-6</v>
      </c>
      <c r="P64" s="38">
        <f>P63-1944.9107</f>
        <v>-3.6729366911458783E-5</v>
      </c>
      <c r="Q64" s="38">
        <f>Q63-2304.3006</f>
        <v>4.1905272155418061E-5</v>
      </c>
    </row>
    <row r="66" spans="2:2" ht="13.95" customHeight="1" x14ac:dyDescent="0.3">
      <c r="B66" s="2" t="s">
        <v>66</v>
      </c>
    </row>
  </sheetData>
  <mergeCells count="2">
    <mergeCell ref="B7:Z7"/>
    <mergeCell ref="B35:Z35"/>
  </mergeCells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I13"/>
  <sheetViews>
    <sheetView showGridLines="0" zoomScale="85" zoomScaleNormal="85" workbookViewId="0"/>
  </sheetViews>
  <sheetFormatPr defaultRowHeight="13.95" customHeight="1" x14ac:dyDescent="0.3"/>
  <cols>
    <col min="1" max="1" width="2.6640625" customWidth="1"/>
    <col min="2" max="2" width="20.6640625" customWidth="1"/>
    <col min="3" max="9" width="18.6640625" customWidth="1"/>
  </cols>
  <sheetData>
    <row r="1" spans="2:9" ht="30" customHeight="1" x14ac:dyDescent="0.3">
      <c r="B1" s="1" t="s">
        <v>67</v>
      </c>
    </row>
    <row r="2" spans="2:9" ht="13.95" customHeight="1" x14ac:dyDescent="0.3">
      <c r="B2" s="2" t="s">
        <v>68</v>
      </c>
    </row>
    <row r="3" spans="2:9" ht="13.95" customHeight="1" x14ac:dyDescent="0.3">
      <c r="B3" s="2" t="s">
        <v>2</v>
      </c>
      <c r="C3" s="3" t="s">
        <v>3</v>
      </c>
      <c r="D3" s="4" t="s">
        <v>4</v>
      </c>
      <c r="E3" s="5" t="s">
        <v>5</v>
      </c>
    </row>
    <row r="5" spans="2:9" ht="30" customHeight="1" x14ac:dyDescent="0.3">
      <c r="B5" s="6" t="s">
        <v>69</v>
      </c>
      <c r="C5" s="7" t="s">
        <v>70</v>
      </c>
      <c r="D5" s="7" t="s">
        <v>71</v>
      </c>
      <c r="E5" s="7" t="s">
        <v>72</v>
      </c>
      <c r="F5" s="7" t="s">
        <v>73</v>
      </c>
      <c r="G5" s="7" t="s">
        <v>74</v>
      </c>
      <c r="H5" s="7" t="s">
        <v>75</v>
      </c>
      <c r="I5" s="7" t="s">
        <v>76</v>
      </c>
    </row>
    <row r="6" spans="2:9" ht="31.95" customHeight="1" x14ac:dyDescent="0.3">
      <c r="B6" s="41" t="s">
        <v>77</v>
      </c>
      <c r="C6" s="42" t="s">
        <v>78</v>
      </c>
      <c r="D6" s="42" t="s">
        <v>79</v>
      </c>
      <c r="E6" s="42" t="s">
        <v>80</v>
      </c>
      <c r="F6" s="42" t="s">
        <v>81</v>
      </c>
      <c r="G6" s="42" t="s">
        <v>82</v>
      </c>
      <c r="H6" s="42" t="s">
        <v>83</v>
      </c>
      <c r="I6" s="42" t="s">
        <v>84</v>
      </c>
    </row>
    <row r="7" spans="2:9" ht="31.95" customHeight="1" x14ac:dyDescent="0.3">
      <c r="B7" s="41" t="s">
        <v>85</v>
      </c>
      <c r="C7" s="42" t="s">
        <v>86</v>
      </c>
      <c r="D7" s="42" t="s">
        <v>87</v>
      </c>
      <c r="E7" s="42" t="s">
        <v>88</v>
      </c>
      <c r="F7" s="42" t="s">
        <v>89</v>
      </c>
      <c r="G7" s="42" t="s">
        <v>90</v>
      </c>
      <c r="H7" s="42" t="s">
        <v>83</v>
      </c>
      <c r="I7" s="42" t="s">
        <v>91</v>
      </c>
    </row>
    <row r="8" spans="2:9" ht="31.95" customHeight="1" x14ac:dyDescent="0.3">
      <c r="B8" s="41" t="s">
        <v>92</v>
      </c>
      <c r="C8" s="42" t="s">
        <v>93</v>
      </c>
      <c r="D8" s="42" t="s">
        <v>79</v>
      </c>
      <c r="E8" s="42" t="s">
        <v>94</v>
      </c>
      <c r="F8" s="42" t="s">
        <v>95</v>
      </c>
      <c r="G8" s="42" t="s">
        <v>96</v>
      </c>
      <c r="H8" s="42" t="s">
        <v>97</v>
      </c>
      <c r="I8" s="42" t="s">
        <v>98</v>
      </c>
    </row>
    <row r="9" spans="2:9" ht="31.95" customHeight="1" x14ac:dyDescent="0.3">
      <c r="B9" s="41" t="s">
        <v>99</v>
      </c>
      <c r="C9" s="42" t="s">
        <v>100</v>
      </c>
      <c r="D9" s="42" t="s">
        <v>101</v>
      </c>
      <c r="E9" s="42" t="s">
        <v>102</v>
      </c>
      <c r="F9" s="42" t="s">
        <v>103</v>
      </c>
      <c r="G9" s="42" t="s">
        <v>104</v>
      </c>
      <c r="H9" s="42" t="s">
        <v>105</v>
      </c>
      <c r="I9" s="42" t="s">
        <v>106</v>
      </c>
    </row>
    <row r="10" spans="2:9" ht="31.95" customHeight="1" x14ac:dyDescent="0.3">
      <c r="B10" s="41" t="s">
        <v>107</v>
      </c>
      <c r="C10" s="42" t="s">
        <v>108</v>
      </c>
      <c r="D10" s="42" t="s">
        <v>109</v>
      </c>
      <c r="E10" s="42" t="s">
        <v>110</v>
      </c>
      <c r="F10" s="42" t="s">
        <v>111</v>
      </c>
      <c r="G10" s="42" t="s">
        <v>112</v>
      </c>
      <c r="H10" s="42" t="s">
        <v>113</v>
      </c>
      <c r="I10" s="42" t="s">
        <v>114</v>
      </c>
    </row>
    <row r="11" spans="2:9" ht="31.95" customHeight="1" x14ac:dyDescent="0.3">
      <c r="B11" s="41" t="s">
        <v>115</v>
      </c>
      <c r="C11" s="42" t="s">
        <v>116</v>
      </c>
      <c r="D11" s="42" t="s">
        <v>79</v>
      </c>
      <c r="E11" s="42" t="s">
        <v>117</v>
      </c>
      <c r="F11" s="42" t="s">
        <v>118</v>
      </c>
      <c r="G11" s="42" t="s">
        <v>119</v>
      </c>
      <c r="H11" s="42" t="s">
        <v>120</v>
      </c>
      <c r="I11" s="42" t="s">
        <v>121</v>
      </c>
    </row>
    <row r="12" spans="2:9" ht="31.95" customHeight="1" x14ac:dyDescent="0.3">
      <c r="B12" s="41" t="s">
        <v>122</v>
      </c>
      <c r="C12" s="42" t="s">
        <v>123</v>
      </c>
      <c r="D12" s="42" t="s">
        <v>87</v>
      </c>
      <c r="E12" s="42" t="s">
        <v>102</v>
      </c>
      <c r="F12" s="42" t="s">
        <v>124</v>
      </c>
      <c r="G12" s="42" t="s">
        <v>125</v>
      </c>
      <c r="H12" s="42" t="s">
        <v>126</v>
      </c>
      <c r="I12" s="42" t="s">
        <v>127</v>
      </c>
    </row>
    <row r="13" spans="2:9" ht="31.95" customHeight="1" x14ac:dyDescent="0.3">
      <c r="B13" s="41" t="s">
        <v>128</v>
      </c>
      <c r="C13" s="42" t="s">
        <v>123</v>
      </c>
      <c r="D13" s="42" t="s">
        <v>119</v>
      </c>
      <c r="E13" s="42" t="s">
        <v>129</v>
      </c>
      <c r="F13" s="42" t="s">
        <v>130</v>
      </c>
      <c r="G13" s="42" t="s">
        <v>131</v>
      </c>
      <c r="H13" s="42" t="s">
        <v>83</v>
      </c>
      <c r="I13" s="42" t="s">
        <v>132</v>
      </c>
    </row>
  </sheetData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DCF Cyclicals</vt:lpstr>
      <vt:lpstr>Box Consensus</vt:lpstr>
      <vt:lpstr>Analyst Models</vt:lpstr>
      <vt:lpstr>FleetRatio</vt:lpstr>
      <vt:lpstr>NExp</vt:lpstr>
      <vt:lpstr>TVx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Caio Lopes de Souza</cp:lastModifiedBy>
  <dcterms:created xsi:type="dcterms:W3CDTF">2026-10-08T22:35:07Z</dcterms:created>
  <dcterms:modified xsi:type="dcterms:W3CDTF">2026-10-08T22:35:54Z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