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EA50C919-AA57-436C-AE1D-9119A0987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ommodities" sheetId="1" r:id="rId1"/>
    <sheet name="Box Consensus" sheetId="2" r:id="rId2"/>
    <sheet name="Analyst Models" sheetId="3" r:id="rId3"/>
  </sheets>
  <definedNames>
    <definedName name="g_">'DCF Commodities'!$F$18</definedName>
    <definedName name="NExp">'DCF Commodities'!$F$19</definedName>
    <definedName name="TVx">'DCF Commodities'!$F$20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C7" i="1" s="1"/>
  <c r="E21" i="2"/>
  <c r="N21" i="2" s="1"/>
  <c r="Q21" i="2" s="1"/>
  <c r="E20" i="2"/>
  <c r="N20" i="2" s="1"/>
  <c r="Q20" i="2" s="1"/>
  <c r="E19" i="2"/>
  <c r="N19" i="2" s="1"/>
  <c r="Q19" i="2" s="1"/>
  <c r="E18" i="2"/>
  <c r="N18" i="2" s="1"/>
  <c r="Q18" i="2" s="1"/>
  <c r="E17" i="2"/>
  <c r="L17" i="2" s="1"/>
  <c r="O17" i="2" s="1"/>
  <c r="E16" i="2"/>
  <c r="N16" i="2" s="1"/>
  <c r="Q16" i="2" s="1"/>
  <c r="E15" i="2"/>
  <c r="N15" i="2" s="1"/>
  <c r="Q15" i="2" s="1"/>
  <c r="N14" i="2"/>
  <c r="Q14" i="2" s="1"/>
  <c r="M14" i="2"/>
  <c r="P14" i="2" s="1"/>
  <c r="L14" i="2"/>
  <c r="O14" i="2" s="1"/>
  <c r="E14" i="2"/>
  <c r="E13" i="2"/>
  <c r="M13" i="2" s="1"/>
  <c r="P13" i="2" s="1"/>
  <c r="E12" i="2"/>
  <c r="N12" i="2" s="1"/>
  <c r="Q12" i="2" s="1"/>
  <c r="E11" i="2"/>
  <c r="N11" i="2" s="1"/>
  <c r="Q11" i="2" s="1"/>
  <c r="E10" i="2"/>
  <c r="N10" i="2" s="1"/>
  <c r="Q10" i="2" s="1"/>
  <c r="M9" i="2"/>
  <c r="P9" i="2" s="1"/>
  <c r="E9" i="2"/>
  <c r="N9" i="2" s="1"/>
  <c r="Q9" i="2" s="1"/>
  <c r="E8" i="2"/>
  <c r="N8" i="2" s="1"/>
  <c r="Q8" i="2" s="1"/>
  <c r="E7" i="2"/>
  <c r="M7" i="2" s="1"/>
  <c r="P7" i="2" s="1"/>
  <c r="E43" i="1"/>
  <c r="D43" i="1"/>
  <c r="C43" i="1"/>
  <c r="N31" i="1"/>
  <c r="M31" i="1"/>
  <c r="L31" i="1"/>
  <c r="K31" i="1"/>
  <c r="J31" i="1"/>
  <c r="I31" i="1"/>
  <c r="H31" i="1"/>
  <c r="G31" i="1"/>
  <c r="F31" i="1"/>
  <c r="E31" i="1"/>
  <c r="E25" i="1"/>
  <c r="E26" i="1" s="1"/>
  <c r="D25" i="1"/>
  <c r="D26" i="1" s="1"/>
  <c r="C25" i="1"/>
  <c r="F20" i="1"/>
  <c r="F19" i="1"/>
  <c r="D18" i="1"/>
  <c r="F18" i="1" s="1"/>
  <c r="F17" i="1"/>
  <c r="L19" i="2" l="1"/>
  <c r="O19" i="2" s="1"/>
  <c r="L7" i="2"/>
  <c r="O7" i="2" s="1"/>
  <c r="L12" i="2"/>
  <c r="O12" i="2" s="1"/>
  <c r="L15" i="2"/>
  <c r="O15" i="2" s="1"/>
  <c r="M19" i="2"/>
  <c r="P19" i="2" s="1"/>
  <c r="M12" i="2"/>
  <c r="P12" i="2" s="1"/>
  <c r="N7" i="2"/>
  <c r="Q7" i="2" s="1"/>
  <c r="L20" i="2"/>
  <c r="O20" i="2" s="1"/>
  <c r="M8" i="2"/>
  <c r="P8" i="2" s="1"/>
  <c r="N13" i="2"/>
  <c r="Q13" i="2" s="1"/>
  <c r="Q22" i="2" s="1"/>
  <c r="E35" i="1" s="1"/>
  <c r="N17" i="2"/>
  <c r="Q17" i="2" s="1"/>
  <c r="L16" i="2"/>
  <c r="O16" i="2" s="1"/>
  <c r="M16" i="2"/>
  <c r="P16" i="2" s="1"/>
  <c r="J33" i="1"/>
  <c r="L8" i="2"/>
  <c r="O8" i="2" s="1"/>
  <c r="M17" i="2"/>
  <c r="P17" i="2" s="1"/>
  <c r="M20" i="2"/>
  <c r="P20" i="2" s="1"/>
  <c r="C26" i="1"/>
  <c r="M21" i="2"/>
  <c r="P21" i="2" s="1"/>
  <c r="E41" i="1"/>
  <c r="E27" i="1"/>
  <c r="C41" i="1"/>
  <c r="C27" i="1"/>
  <c r="D27" i="1"/>
  <c r="D41" i="1"/>
  <c r="M33" i="1"/>
  <c r="N33" i="1"/>
  <c r="L10" i="2"/>
  <c r="O10" i="2" s="1"/>
  <c r="M15" i="2"/>
  <c r="P15" i="2" s="1"/>
  <c r="M10" i="2"/>
  <c r="P10" i="2" s="1"/>
  <c r="L9" i="2"/>
  <c r="O9" i="2" s="1"/>
  <c r="L21" i="2"/>
  <c r="O21" i="2" s="1"/>
  <c r="H33" i="1"/>
  <c r="I33" i="1"/>
  <c r="K33" i="1"/>
  <c r="L33" i="1"/>
  <c r="L11" i="2"/>
  <c r="O11" i="2" s="1"/>
  <c r="M11" i="2"/>
  <c r="P11" i="2" s="1"/>
  <c r="L18" i="2"/>
  <c r="O18" i="2" s="1"/>
  <c r="L13" i="2"/>
  <c r="O13" i="2" s="1"/>
  <c r="M18" i="2"/>
  <c r="P18" i="2" s="1"/>
  <c r="N22" i="2" l="1"/>
  <c r="P22" i="2"/>
  <c r="D35" i="1" s="1"/>
  <c r="O22" i="2"/>
  <c r="C35" i="1" s="1"/>
  <c r="L22" i="2"/>
  <c r="M22" i="2"/>
  <c r="N23" i="2"/>
  <c r="E32" i="1"/>
  <c r="K22" i="2"/>
  <c r="E34" i="1" s="1"/>
  <c r="C32" i="1" l="1"/>
  <c r="L23" i="2"/>
  <c r="I22" i="2"/>
  <c r="C34" i="1" s="1"/>
  <c r="E36" i="1"/>
  <c r="K34" i="1"/>
  <c r="N34" i="1"/>
  <c r="M34" i="1"/>
  <c r="J34" i="1"/>
  <c r="I34" i="1"/>
  <c r="H34" i="1"/>
  <c r="G34" i="1"/>
  <c r="F34" i="1"/>
  <c r="L34" i="1"/>
  <c r="M23" i="2"/>
  <c r="J22" i="2"/>
  <c r="D34" i="1" s="1"/>
  <c r="D32" i="1"/>
  <c r="D33" i="1" l="1"/>
  <c r="D36" i="1"/>
  <c r="D37" i="1" s="1"/>
  <c r="E33" i="1"/>
  <c r="E37" i="1"/>
  <c r="F33" i="1" l="1"/>
  <c r="F32" i="1" s="1"/>
  <c r="G33" i="1"/>
  <c r="G32" i="1" l="1"/>
  <c r="F35" i="1"/>
  <c r="F36" i="1" s="1"/>
  <c r="F37" i="1" l="1"/>
  <c r="H32" i="1"/>
  <c r="G35" i="1"/>
  <c r="G36" i="1" s="1"/>
  <c r="G37" i="1" l="1"/>
  <c r="I32" i="1"/>
  <c r="H35" i="1"/>
  <c r="H36" i="1" s="1"/>
  <c r="J32" i="1" l="1"/>
  <c r="I35" i="1"/>
  <c r="I36" i="1"/>
  <c r="I37" i="1" s="1"/>
  <c r="H37" i="1"/>
  <c r="C45" i="1"/>
  <c r="C46" i="1" s="1"/>
  <c r="E45" i="1"/>
  <c r="E46" i="1" s="1"/>
  <c r="D45" i="1"/>
  <c r="D46" i="1" s="1"/>
  <c r="K32" i="1" l="1"/>
  <c r="J35" i="1"/>
  <c r="J36" i="1"/>
  <c r="K35" i="1" l="1"/>
  <c r="K36" i="1" s="1"/>
  <c r="K37" i="1" s="1"/>
  <c r="L32" i="1"/>
  <c r="J37" i="1"/>
  <c r="M32" i="1" l="1"/>
  <c r="L35" i="1"/>
  <c r="L36" i="1" s="1"/>
  <c r="L37" i="1" s="1"/>
  <c r="N32" i="1" l="1"/>
  <c r="M35" i="1"/>
  <c r="M36" i="1" s="1"/>
  <c r="M37" i="1" s="1"/>
  <c r="N35" i="1" l="1"/>
  <c r="N36" i="1" s="1"/>
  <c r="N37" i="1" l="1"/>
  <c r="C44" i="1"/>
  <c r="C47" i="1" s="1"/>
  <c r="E44" i="1"/>
  <c r="E47" i="1" s="1"/>
  <c r="G56" i="1"/>
  <c r="F57" i="1"/>
  <c r="F58" i="1"/>
  <c r="C56" i="1"/>
  <c r="F55" i="1"/>
  <c r="F56" i="1"/>
  <c r="C59" i="1"/>
  <c r="E55" i="1"/>
  <c r="C55" i="1"/>
  <c r="E56" i="1"/>
  <c r="E60" i="1"/>
  <c r="G55" i="1"/>
  <c r="F59" i="1"/>
  <c r="D55" i="1"/>
  <c r="G59" i="1"/>
  <c r="D57" i="1"/>
  <c r="G57" i="1"/>
  <c r="C57" i="1"/>
  <c r="G60" i="1"/>
  <c r="E59" i="1"/>
  <c r="E57" i="1"/>
  <c r="F60" i="1"/>
  <c r="C60" i="1"/>
  <c r="D60" i="1"/>
  <c r="D58" i="1"/>
  <c r="E58" i="1"/>
  <c r="D56" i="1"/>
  <c r="C58" i="1"/>
  <c r="G58" i="1"/>
  <c r="D59" i="1"/>
  <c r="D44" i="1"/>
  <c r="D47" i="1" s="1"/>
  <c r="D48" i="1" l="1"/>
  <c r="D49" i="1"/>
  <c r="E48" i="1"/>
  <c r="E49" i="1"/>
  <c r="C48" i="1"/>
  <c r="C49" i="1"/>
</calcChain>
</file>

<file path=xl/sharedStrings.xml><?xml version="1.0" encoding="utf-8"?>
<sst xmlns="http://schemas.openxmlformats.org/spreadsheetml/2006/main" count="238" uniqueCount="213">
  <si>
    <t>Commodities - consensus 2026-28 of the members, summed into the box (index points)</t>
  </si>
  <si>
    <t>Bloomberg BEST consensus (Oct-7-2026): net income (BEST_NET_INCOME, Members sheet of the main model) and ROE (BEST_ROE, dcf_members.parquet). Book value = net income / ROE. Index points = R$ mn x points / market cap. Only the actuals and consensus years are built from the members; the projection is done for the box.</t>
  </si>
  <si>
    <t>Legend:</t>
  </si>
  <si>
    <t>input</t>
  </si>
  <si>
    <t>assumption</t>
  </si>
  <si>
    <t>formula</t>
  </si>
  <si>
    <t>Member</t>
  </si>
  <si>
    <t>Index points</t>
  </si>
  <si>
    <t>Market cap (R$ mn)</t>
  </si>
  <si>
    <t>Points / market cap</t>
  </si>
  <si>
    <t>Net income 2026 (R$ mn)</t>
  </si>
  <si>
    <t>Net income 2027 (R$ mn)</t>
  </si>
  <si>
    <t>Net income 2028 (R$ mn)</t>
  </si>
  <si>
    <t>ROE 2026</t>
  </si>
  <si>
    <t>ROE 2027</t>
  </si>
  <si>
    <t>ROE 2028</t>
  </si>
  <si>
    <t>Net income 2026 (pts)</t>
  </si>
  <si>
    <t>Net income 2027 (pts)</t>
  </si>
  <si>
    <t>Net income 2028 (pts)</t>
  </si>
  <si>
    <t>Book value 2026 (pts)</t>
  </si>
  <si>
    <t>Book value 2027 (pts)</t>
  </si>
  <si>
    <t>Book value 2028 (pts)</t>
  </si>
  <si>
    <t>Vale (VALE3)</t>
  </si>
  <si>
    <t>Petrobras (PETR4 + PETR3)</t>
  </si>
  <si>
    <t>PRIO (PRIO3)</t>
  </si>
  <si>
    <t>Vibra Energia (VBBR3)</t>
  </si>
  <si>
    <t>Ultrapar (UGPA3)</t>
  </si>
  <si>
    <t>Gerdau (GGBR4)</t>
  </si>
  <si>
    <t>Suzano (SUZB3)</t>
  </si>
  <si>
    <t>Klabin (KLBN11)</t>
  </si>
  <si>
    <t>Cosan (CSAN3)</t>
  </si>
  <si>
    <t>Met. Gerdau (GOAU4)</t>
  </si>
  <si>
    <t>CSN Mineração (CMIN3)</t>
  </si>
  <si>
    <t>Brava Energia (BRAV3)</t>
  </si>
  <si>
    <t>Bradespar (BRAP4)</t>
  </si>
  <si>
    <t>CSN (CSNA3)</t>
  </si>
  <si>
    <t>Usiminas (USIM5)</t>
  </si>
  <si>
    <t>Commodities box</t>
  </si>
  <si>
    <t>Check: net income vs. Box Shares!M10:O10 of the main model</t>
  </si>
  <si>
    <t>Box ROE = sum of net income / sum of book value (row total).</t>
  </si>
  <si>
    <t>Metalurgica Gerdau (holding of Gerdau): no consensus for 2028 net income and 2027-28 ROE; Gerdau's path (pink, editable). The main model had 0 for its 2028 net income, hence the check difference in 2028.</t>
  </si>
  <si>
    <t>Petrobras: PETR4 and PETR3 points added (same company figures).</t>
  </si>
  <si>
    <t>Cosan and CSN have negative 2026 consensus net income and ROE: book value = net income / ROE stays positive.</t>
  </si>
  <si>
    <t>Commodities - how the XP commodity analysts treat the long term (memo)</t>
  </si>
  <si>
    <t>Files in inputs/analyst_models/Commodities (DCF &amp; Sensitivity, Valuation, Control Panel sheets), read on Oct-8-2026.</t>
  </si>
  <si>
    <t>Model</t>
  </si>
  <si>
    <t>Currency</t>
  </si>
  <si>
    <t>Method</t>
  </si>
  <si>
    <t>Value date</t>
  </si>
  <si>
    <t>Explicit to</t>
  </si>
  <si>
    <t>Perpetuity g</t>
  </si>
  <si>
    <t>Risk free</t>
  </si>
  <si>
    <t>Beta x ERP</t>
  </si>
  <si>
    <t>Ke / WACC</t>
  </si>
  <si>
    <t>Long-term price</t>
  </si>
  <si>
    <t>USD</t>
  </si>
  <si>
    <t>FCFF - net debt, SOTP</t>
  </si>
  <si>
    <t>End-2027</t>
  </si>
  <si>
    <t>2035</t>
  </si>
  <si>
    <t>2.4% (US CPI, real 0%)</t>
  </si>
  <si>
    <t>(real 70% BR 7.8% + 30% US 2.55%, + US CPI) x 0.85 = 7.5%</t>
  </si>
  <si>
    <t>1.0 x 5.5%</t>
  </si>
  <si>
    <t>13.0% / 11.3%</t>
  </si>
  <si>
    <t>Iron ore US$100 (26YE) &gt; 97.5 &gt; 93.75 &gt; 90/t from 2029; copper 14k &gt; 15k (2030)</t>
  </si>
  <si>
    <t>Petrobras (PETR4)</t>
  </si>
  <si>
    <t>FCFF - net debt, by business</t>
  </si>
  <si>
    <t>(older vintage)</t>
  </si>
  <si>
    <t>2031 (EBITDA to 2060)</t>
  </si>
  <si>
    <t>2.4% on an adjusted 2031 FCFF</t>
  </si>
  <si>
    <t>Treasury 4.0% + CDS 2.1%</t>
  </si>
  <si>
    <t>1.53 (levered) x 5.0%</t>
  </si>
  <si>
    <t>13.7% / 12.1%</t>
  </si>
  <si>
    <t>Brent US$63/bbl; EBITDA falls with reserves: -6% a year real 2028-35</t>
  </si>
  <si>
    <t>BRL</t>
  </si>
  <si>
    <t>FCFE (FCFF check)</t>
  </si>
  <si>
    <t>4.0% (IPCA, real 0%)</t>
  </si>
  <si>
    <t>(real 90% BR 7.5% + 10% US, + IPCA) x 0.85 = 9.6%</t>
  </si>
  <si>
    <t>15.1% / 11.2%</t>
  </si>
  <si>
    <t>BHKP real US$590 &gt; 570 &gt; 560/t from 2028</t>
  </si>
  <si>
    <t>Aura (AURA33)</t>
  </si>
  <si>
    <t>FCFF, SOTP by mine</t>
  </si>
  <si>
    <t>End-2026</t>
  </si>
  <si>
    <t>Mine lives (to ~2047)</t>
  </si>
  <si>
    <t>None (finite reserves)</t>
  </si>
  <si>
    <t>Same rule, USD = 8.5%</t>
  </si>
  <si>
    <t>0.5 x 5.5%</t>
  </si>
  <si>
    <t>11.2% / 10.5%</t>
  </si>
  <si>
    <t>Gold US$4,500 (26-27) &gt; 3,500 by 2035; copper 14k</t>
  </si>
  <si>
    <t>Real growth after 2028 in the analysts' models (a year, 2028-35)</t>
  </si>
  <si>
    <t>Line</t>
  </si>
  <si>
    <t>Nominal</t>
  </si>
  <si>
    <t>Real</t>
  </si>
  <si>
    <t>Note</t>
  </si>
  <si>
    <t>Vale</t>
  </si>
  <si>
    <t>NOPLAT, USD</t>
  </si>
  <si>
    <t>Copper and nickel growth; 28.8% of the box</t>
  </si>
  <si>
    <t>Petrobras</t>
  </si>
  <si>
    <t>EBITDA, USD</t>
  </si>
  <si>
    <t>Reserve depletion; 43.0% of the box</t>
  </si>
  <si>
    <t>Suzano</t>
  </si>
  <si>
    <t>NOPLAT, BRL</t>
  </si>
  <si>
    <t>Real pulp price flat from 2028; 2.8% of the box</t>
  </si>
  <si>
    <t>Weighted by the box points, the three give about -2% a year real: zero real growth for the box is neutral to slightly generous.</t>
  </si>
  <si>
    <t>Commodities - FCFE with zero real growth, the analysts' logic on the box consensus (end-2027)</t>
  </si>
  <si>
    <t>Consensus 2026-28 summed from the members (Box Consensus); the projection is done for the box: ROE held, growth to g by the last explicit year, cash to shareholders = net income - the increase in book value; Gordon perpetuity.</t>
  </si>
  <si>
    <t>1. Inputs</t>
  </si>
  <si>
    <t>Item</t>
  </si>
  <si>
    <t>Value</t>
  </si>
  <si>
    <t>Source / note</t>
  </si>
  <si>
    <t>Commodities, index points today</t>
  </si>
  <si>
    <t>Members' weight x Ibovespa close of Oct-5-2026 (Box Consensus; Box Shares!C10 of the main model).</t>
  </si>
  <si>
    <t>Long-term IPCA</t>
  </si>
  <si>
    <t>House (Target!B63) and the analysts' Macro sheets.</t>
  </si>
  <si>
    <t>Long-term real growth of the box</t>
  </si>
  <si>
    <t>Caio, Oct-8-2026: zero, as the analysts' commodity models (perpetuity g = inflation, or finite lives).</t>
  </si>
  <si>
    <t>Share of the risk free kept after tax</t>
  </si>
  <si>
    <t>As the analysts: risk free = (NTN-B + IPCA) x 0.85.</t>
  </si>
  <si>
    <t>Equity risk premium, the same for every box</t>
  </si>
  <si>
    <t>Unified (Caio, Oct-8-2026).</t>
  </si>
  <si>
    <t>Earnings elasticity to commodity prices</t>
  </si>
  <si>
    <t>Box Earnings!J10 of the main model: 12-month change of the box 12m fwd EPS vs. the DJP commodity ETN, Oct-07 to Sep-26.</t>
  </si>
  <si>
    <t>Box ROE after 2028 (blank = consensus FY28 of the box)</t>
  </si>
  <si>
    <t>Typed value replaces the FY28 box ROE after 2028.</t>
  </si>
  <si>
    <t>2. House vs. analysts, variable by variable (choice: 1 = house, 2 = analysts)</t>
  </si>
  <si>
    <t>Variable</t>
  </si>
  <si>
    <t>House</t>
  </si>
  <si>
    <t>Analysts</t>
  </si>
  <si>
    <t>Choice</t>
  </si>
  <si>
    <t>Used</t>
  </si>
  <si>
    <t>House / analysts</t>
  </si>
  <si>
    <t>Beta</t>
  </si>
  <si>
    <t>House: the box beta, weekly 5 years vs. the Ibovespa from the local box index (Box Betas). Analysts: 1.0 (Vale, Suzano).</t>
  </si>
  <si>
    <t>Perpetuity growth (g)</t>
  </si>
  <si>
    <t>House: 4.7% (Target!B54). Analysts (commodities): inflation x (1 + real growth), real growth 0%.</t>
  </si>
  <si>
    <t>Explicit years after the value date</t>
  </si>
  <si>
    <t>House: 2028-31. Analysts: to 2035 (Vale, Suzano). Growth reaches g by the last explicit year.</t>
  </si>
  <si>
    <t>Extra periods in the discount of the terminal value</t>
  </si>
  <si>
    <t>House: the TV is discounted one period more than the last flow. Analysts: the last year's factor.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</si>
  <si>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</si>
  <si>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</si>
  <si>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</si>
  <si>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</si>
  <si>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</si>
  <si>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</si>
  <si>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</si>
  <si>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nominal = (NTN-B + long-term IPCA) x share kept after tax</t>
  </si>
  <si>
    <t>Nominal, because the flows are nominal.</t>
  </si>
  <si>
    <t>Ke = risk free + beta x ERP</t>
  </si>
  <si>
    <t>Ke - g</t>
  </si>
  <si>
    <t>4. Box projection (index points): consensus 2026-28, box-level projection after 2028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</si>
  <si>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</si>
  <si>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</si>
  <si>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</si>
  <si>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</si>
  <si>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</si>
  <si>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</si>
  <si>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</si>
  <si>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</si>
  <si>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</si>
  <si>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</si>
  <si>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</si>
  <si>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How it is calculated / source</t>
  </si>
  <si>
    <t>Years after end-2027 (grey = after the explicit years, not used)</t>
  </si>
  <si>
    <t>Net income: 2026-28 consensus (sum of the members); then previous x (1 + growth)</t>
  </si>
  <si>
    <t>Box Consensus.</t>
  </si>
  <si>
    <t>Net income growth: 2027-28 consensus; then linear from the 2028 growth to g in the last explicit year</t>
  </si>
  <si>
    <t>The consensus already brings prices toward the long term (net income falls 2026-28); after that, nominal growth = inflation.</t>
  </si>
  <si>
    <t>ROE: 2026-28 consensus of the box; then held at FY28</t>
  </si>
  <si>
    <t>FY28 consensus ROE of the box vs. its 12m fwd history: 10y average 18.5%, ex-2021-22 boom ~15%.</t>
  </si>
  <si>
    <t>Book value: 2026-28 consensus (net income / ROE, summed); then net income / ROE</t>
  </si>
  <si>
    <t>Cash to shareholders = net income - increase in book value (dividends + buybacks)</t>
  </si>
  <si>
    <t>FCFE at constant leverage: the equity part of the reinvestment is retained, the rest is paid out.</t>
  </si>
  <si>
    <t>Payout</t>
  </si>
  <si>
    <t>Converges to about 1 - g / ROE.</t>
  </si>
  <si>
    <t>5. Valuation at the end of 2027</t>
  </si>
  <si>
    <t>Ke</t>
  </si>
  <si>
    <t>Commodity price shock</t>
  </si>
  <si>
    <t>Symmetric +/-20%, as Assumptions row 62 of the main model.</t>
  </si>
  <si>
    <t>Earnings shock of Commodities = elasticity x price shock</t>
  </si>
  <si>
    <t>Moves the cash to shareholders of every year.</t>
  </si>
  <si>
    <t>PV of the explicit flows = (1 + shock) x sum of flow / (1 + Ke) ^ t</t>
  </si>
  <si>
    <t>t = 1 for 2028 (value at end-2027); only the explicit years.</t>
  </si>
  <si>
    <t>Terminal value = last explicit flow x (1 + shock) x (1 + g) / (Ke - g)</t>
  </si>
  <si>
    <t>Gordon on the last explicit flow, nominal growth = inflation (zero real).</t>
  </si>
  <si>
    <t>PV of the terminal value = TV / (1 + Ke) ^ (explicit years + extra periods)</t>
  </si>
  <si>
    <t>Fair value of Commodities at the end of 2027 (index pts)</t>
  </si>
  <si>
    <t>Upside vs. today</t>
  </si>
  <si>
    <t>Perpetuity share of the value</t>
  </si>
  <si>
    <t>Memo: upside in the unified DCF by box (main model, v7b)</t>
  </si>
  <si>
    <t>Ibov_house_2027_by_box_XP.xlsx, DCF by Box (house FCFF, CAPM rate, g 4.7%).</t>
  </si>
  <si>
    <t>Memo: upside in the multiples model (average of P/E and EV/EBITDA, Oct-6)</t>
  </si>
  <si>
    <t>Ibov_valuation_by_box_model_XP.xlsx.</t>
  </si>
  <si>
    <t>6. Base upside (no price shock): Ke (rows) x long-term real growth (columns); flows to the last explicit year as projected</t>
  </si>
  <si>
    <t>Ke \ real growth</t>
  </si>
  <si>
    <t>Real growth enters the perpetuity only (the explicit flows stay as projected). 13.94% = Ke in the base with the house beta ((6.76% + 4%) x 0.85 + 0.872 x 5.5%).</t>
  </si>
  <si>
    <t>7. What is fixed (not switchable) and where it comes from</t>
  </si>
  <si>
    <t>Risk free nominal: (NTN-B + IPCA) x 0.85</t>
  </si>
  <si>
    <t>Required by the nominal flows; the tax haircut as the analysts</t>
  </si>
  <si>
    <t>Equity risk premium 5.5%, the same for every box</t>
  </si>
  <si>
    <t>Unified (Caio)</t>
  </si>
  <si>
    <t>Content of 2026-28: Bloomberg consensus of the members, summed</t>
  </si>
  <si>
    <t>Strategy (unified with the other boxes)</t>
  </si>
  <si>
    <t>No commodity price model: the consensus carries the analysts' price decks to 2028</t>
  </si>
  <si>
    <t>Analysts reach long-term prices around 2028-29</t>
  </si>
  <si>
    <t>Projection for the box only: ROE held at FY28, growth to g, zero real growth in the long term</t>
  </si>
  <si>
    <t>Analysts' commodity logic</t>
  </si>
  <si>
    <t>Cash to shareholders = net income - increase in book value</t>
  </si>
  <si>
    <t>FCFE at constant leverage (= house FCFE)</t>
  </si>
  <si>
    <t>Scenario real rates 8.5% / today / 5.5%</t>
  </si>
  <si>
    <t>House (unified with the other boxes)</t>
  </si>
  <si>
    <t>Commodity price shock +/-20% x earnings elasticity 1.26</t>
  </si>
  <si>
    <t>Main model (Box Earnings)</t>
  </si>
  <si>
    <t>Value at end-2027, compared with today's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</si>
</sst>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&quot; pp&quot;"/>
    <numFmt numFmtId="168" formatCode="\+0.0%;\-0.0%;0.0%"/>
    <numFmt numFmtId="169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" fontId="10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0" fontId="10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8" fontId="8" fillId="2" borderId="1" xfId="0" applyNumberFormat="1" applyFont="1" applyFill="1" applyBorder="1" applyAlignment="1">
      <alignment vertical="center"/>
    </xf>
    <xf numFmtId="168" fontId="7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68" fontId="6" fillId="3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left" vertic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168" fontId="12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1"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73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6" width="13.6640625" customWidth="1"/>
    <col min="7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103</v>
      </c>
    </row>
    <row r="2" spans="2:16" ht="13.95" customHeight="1" x14ac:dyDescent="0.3">
      <c r="B2" s="2" t="s">
        <v>104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48" t="s">
        <v>105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2:16" ht="13.95" customHeight="1" x14ac:dyDescent="0.3">
      <c r="B6" s="6" t="s">
        <v>106</v>
      </c>
      <c r="C6" s="7" t="s">
        <v>107</v>
      </c>
      <c r="D6" s="7"/>
      <c r="P6" s="7" t="s">
        <v>108</v>
      </c>
    </row>
    <row r="7" spans="2:16" ht="13.95" customHeight="1" x14ac:dyDescent="0.3">
      <c r="B7" s="8" t="s">
        <v>109</v>
      </c>
      <c r="C7" s="9">
        <f>'Box Consensus'!C22</f>
        <v>65411.174470267259</v>
      </c>
      <c r="P7" s="2" t="s">
        <v>110</v>
      </c>
    </row>
    <row r="8" spans="2:16" ht="13.95" customHeight="1" x14ac:dyDescent="0.3">
      <c r="B8" s="8" t="s">
        <v>111</v>
      </c>
      <c r="C8" s="10">
        <v>0.04</v>
      </c>
      <c r="P8" s="2" t="s">
        <v>112</v>
      </c>
    </row>
    <row r="9" spans="2:16" ht="13.95" customHeight="1" x14ac:dyDescent="0.3">
      <c r="B9" s="8" t="s">
        <v>113</v>
      </c>
      <c r="C9" s="10">
        <v>0</v>
      </c>
      <c r="P9" s="2" t="s">
        <v>114</v>
      </c>
    </row>
    <row r="10" spans="2:16" ht="13.95" customHeight="1" x14ac:dyDescent="0.3">
      <c r="B10" s="8" t="s">
        <v>115</v>
      </c>
      <c r="C10" s="11">
        <v>0.85</v>
      </c>
      <c r="P10" s="2" t="s">
        <v>116</v>
      </c>
    </row>
    <row r="11" spans="2:16" ht="13.95" customHeight="1" x14ac:dyDescent="0.3">
      <c r="B11" s="8" t="s">
        <v>117</v>
      </c>
      <c r="C11" s="12">
        <v>5.5E-2</v>
      </c>
      <c r="P11" s="2" t="s">
        <v>118</v>
      </c>
    </row>
    <row r="12" spans="2:16" ht="13.95" customHeight="1" x14ac:dyDescent="0.3">
      <c r="B12" s="8" t="s">
        <v>119</v>
      </c>
      <c r="C12" s="13">
        <v>1.262</v>
      </c>
      <c r="P12" s="2" t="s">
        <v>120</v>
      </c>
    </row>
    <row r="13" spans="2:16" ht="13.95" customHeight="1" x14ac:dyDescent="0.3">
      <c r="B13" s="8" t="s">
        <v>121</v>
      </c>
      <c r="C13" s="10"/>
      <c r="P13" s="2" t="s">
        <v>122</v>
      </c>
    </row>
    <row r="15" spans="2:16" ht="13.95" customHeight="1" x14ac:dyDescent="0.3">
      <c r="B15" s="48" t="s">
        <v>123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</row>
    <row r="16" spans="2:16" ht="30" customHeight="1" x14ac:dyDescent="0.3">
      <c r="B16" s="6" t="s">
        <v>124</v>
      </c>
      <c r="C16" s="7" t="s">
        <v>125</v>
      </c>
      <c r="D16" s="7" t="s">
        <v>126</v>
      </c>
      <c r="E16" s="7" t="s">
        <v>127</v>
      </c>
      <c r="F16" s="7" t="s">
        <v>128</v>
      </c>
      <c r="P16" s="7" t="s">
        <v>129</v>
      </c>
    </row>
    <row r="17" spans="2:16" ht="13.95" customHeight="1" x14ac:dyDescent="0.3">
      <c r="B17" s="8" t="s">
        <v>130</v>
      </c>
      <c r="C17" s="14">
        <v>0.872</v>
      </c>
      <c r="D17" s="14">
        <v>1</v>
      </c>
      <c r="E17" s="15">
        <v>1</v>
      </c>
      <c r="F17" s="16">
        <f>IF(E17=1,C17,D17)</f>
        <v>0.872</v>
      </c>
      <c r="P17" s="2" t="s">
        <v>131</v>
      </c>
    </row>
    <row r="18" spans="2:16" ht="13.95" customHeight="1" x14ac:dyDescent="0.3">
      <c r="B18" s="8" t="s">
        <v>132</v>
      </c>
      <c r="C18" s="10">
        <v>4.7E-2</v>
      </c>
      <c r="D18" s="17">
        <f>(1+C8)*(1+C9)-1</f>
        <v>4.0000000000000036E-2</v>
      </c>
      <c r="E18" s="15">
        <v>2</v>
      </c>
      <c r="F18" s="18">
        <f>IF(E18=1,C18,D18)</f>
        <v>4.0000000000000036E-2</v>
      </c>
      <c r="P18" s="2" t="s">
        <v>133</v>
      </c>
    </row>
    <row r="19" spans="2:16" ht="13.95" customHeight="1" x14ac:dyDescent="0.3">
      <c r="B19" s="8" t="s">
        <v>134</v>
      </c>
      <c r="C19" s="19">
        <v>4</v>
      </c>
      <c r="D19" s="19">
        <v>8</v>
      </c>
      <c r="E19" s="15">
        <v>1</v>
      </c>
      <c r="F19" s="20">
        <f>IF(E19=1,C19,D19)</f>
        <v>4</v>
      </c>
      <c r="P19" s="2" t="s">
        <v>135</v>
      </c>
    </row>
    <row r="20" spans="2:16" ht="13.95" customHeight="1" x14ac:dyDescent="0.3">
      <c r="B20" s="8" t="s">
        <v>136</v>
      </c>
      <c r="C20" s="19">
        <v>1</v>
      </c>
      <c r="D20" s="19">
        <v>0</v>
      </c>
      <c r="E20" s="15">
        <v>2</v>
      </c>
      <c r="F20" s="20">
        <f>IF(E20=1,C20,D20)</f>
        <v>0</v>
      </c>
      <c r="P20" s="2" t="s">
        <v>137</v>
      </c>
    </row>
    <row r="22" spans="2:16" ht="13.95" customHeight="1" x14ac:dyDescent="0.3">
      <c r="B22" s="48" t="s">
        <v>138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2:16" ht="13.95" customHeight="1" x14ac:dyDescent="0.3">
      <c r="B23" s="6" t="s">
        <v>106</v>
      </c>
      <c r="C23" s="7" t="s">
        <v>139</v>
      </c>
      <c r="D23" s="7" t="s">
        <v>140</v>
      </c>
      <c r="E23" s="7" t="s">
        <v>141</v>
      </c>
      <c r="P23" s="7" t="s">
        <v>142</v>
      </c>
    </row>
    <row r="24" spans="2:16" ht="13.95" customHeight="1" x14ac:dyDescent="0.3">
      <c r="B24" s="8" t="s">
        <v>143</v>
      </c>
      <c r="C24" s="12">
        <v>8.5000000000000006E-2</v>
      </c>
      <c r="D24" s="12">
        <v>6.7599999999999993E-2</v>
      </c>
      <c r="E24" s="12">
        <v>5.5E-2</v>
      </c>
      <c r="P24" s="2" t="s">
        <v>144</v>
      </c>
    </row>
    <row r="25" spans="2:16" ht="13.95" customHeight="1" x14ac:dyDescent="0.3">
      <c r="B25" s="8" t="s">
        <v>145</v>
      </c>
      <c r="C25" s="21">
        <f>(C24+$C$8)*$C$10</f>
        <v>0.10625</v>
      </c>
      <c r="D25" s="21">
        <f>(D24+$C$8)*$C$10</f>
        <v>9.146E-2</v>
      </c>
      <c r="E25" s="21">
        <f>(E24+$C$8)*$C$10</f>
        <v>8.0750000000000002E-2</v>
      </c>
      <c r="P25" s="2" t="s">
        <v>146</v>
      </c>
    </row>
    <row r="26" spans="2:16" ht="13.95" customHeight="1" x14ac:dyDescent="0.3">
      <c r="B26" s="22" t="s">
        <v>147</v>
      </c>
      <c r="C26" s="23">
        <f>C25+$F$17*$C$11</f>
        <v>0.15421000000000001</v>
      </c>
      <c r="D26" s="23">
        <f>D25+$F$17*$C$11</f>
        <v>0.13941999999999999</v>
      </c>
      <c r="E26" s="23">
        <f>E25+$F$17*$C$11</f>
        <v>0.12870999999999999</v>
      </c>
    </row>
    <row r="27" spans="2:16" ht="13.95" customHeight="1" x14ac:dyDescent="0.3">
      <c r="B27" s="8" t="s">
        <v>148</v>
      </c>
      <c r="C27" s="24">
        <f>(C26-g_)*100</f>
        <v>11.420999999999998</v>
      </c>
      <c r="D27" s="24">
        <f>(D26-g_)*100</f>
        <v>9.9419999999999948</v>
      </c>
      <c r="E27" s="24">
        <f>(E26-g_)*100</f>
        <v>8.8709999999999951</v>
      </c>
    </row>
    <row r="29" spans="2:16" ht="13.95" customHeight="1" x14ac:dyDescent="0.3">
      <c r="B29" s="48" t="s">
        <v>149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</row>
    <row r="30" spans="2:16" ht="13.95" customHeight="1" x14ac:dyDescent="0.3">
      <c r="B30" s="6" t="s">
        <v>89</v>
      </c>
      <c r="C30" s="7" t="s">
        <v>150</v>
      </c>
      <c r="D30" s="7" t="s">
        <v>151</v>
      </c>
      <c r="E30" s="7" t="s">
        <v>152</v>
      </c>
      <c r="F30" s="7" t="s">
        <v>153</v>
      </c>
      <c r="G30" s="7" t="s">
        <v>154</v>
      </c>
      <c r="H30" s="7" t="s">
        <v>155</v>
      </c>
      <c r="I30" s="7" t="s">
        <v>156</v>
      </c>
      <c r="J30" s="7" t="s">
        <v>157</v>
      </c>
      <c r="K30" s="7" t="s">
        <v>158</v>
      </c>
      <c r="L30" s="7" t="s">
        <v>58</v>
      </c>
      <c r="M30" s="7" t="s">
        <v>159</v>
      </c>
      <c r="N30" s="7" t="s">
        <v>160</v>
      </c>
      <c r="P30" s="7" t="s">
        <v>161</v>
      </c>
    </row>
    <row r="31" spans="2:16" ht="13.95" customHeight="1" x14ac:dyDescent="0.3">
      <c r="B31" s="8" t="s">
        <v>162</v>
      </c>
      <c r="E31" s="25">
        <f>2028-2027</f>
        <v>1</v>
      </c>
      <c r="F31" s="25">
        <f>2029-2027</f>
        <v>2</v>
      </c>
      <c r="G31" s="25">
        <f>2030-2027</f>
        <v>3</v>
      </c>
      <c r="H31" s="25">
        <f>2031-2027</f>
        <v>4</v>
      </c>
      <c r="I31" s="25">
        <f>2032-2027</f>
        <v>5</v>
      </c>
      <c r="J31" s="25">
        <f>2033-2027</f>
        <v>6</v>
      </c>
      <c r="K31" s="25">
        <f>2034-2027</f>
        <v>7</v>
      </c>
      <c r="L31" s="25">
        <f>2035-2027</f>
        <v>8</v>
      </c>
      <c r="M31" s="25">
        <f>2036-2027</f>
        <v>9</v>
      </c>
      <c r="N31" s="25">
        <f>2037-2027</f>
        <v>10</v>
      </c>
    </row>
    <row r="32" spans="2:16" ht="13.95" customHeight="1" x14ac:dyDescent="0.3">
      <c r="B32" s="22" t="s">
        <v>163</v>
      </c>
      <c r="C32" s="26">
        <f>'Box Consensus'!L22</f>
        <v>10671.972549948501</v>
      </c>
      <c r="D32" s="26">
        <f>'Box Consensus'!M22</f>
        <v>9633.4894190418363</v>
      </c>
      <c r="E32" s="26">
        <f>'Box Consensus'!N22</f>
        <v>9460.6727418961964</v>
      </c>
      <c r="F32" s="26">
        <f t="shared" ref="F32:N32" si="0">E32*(1+F33)</f>
        <v>9473.6707173361501</v>
      </c>
      <c r="G32" s="26">
        <f t="shared" si="0"/>
        <v>9669.6520483326512</v>
      </c>
      <c r="H32" s="26">
        <f t="shared" si="0"/>
        <v>10056.438130265959</v>
      </c>
      <c r="I32" s="26">
        <f t="shared" si="0"/>
        <v>10458.695655476597</v>
      </c>
      <c r="J32" s="26">
        <f t="shared" si="0"/>
        <v>10877.04348169566</v>
      </c>
      <c r="K32" s="26">
        <f t="shared" si="0"/>
        <v>11312.125220963488</v>
      </c>
      <c r="L32" s="26">
        <f t="shared" si="0"/>
        <v>11764.610229802027</v>
      </c>
      <c r="M32" s="26">
        <f t="shared" si="0"/>
        <v>12235.194638994108</v>
      </c>
      <c r="N32" s="26">
        <f t="shared" si="0"/>
        <v>12724.602424553872</v>
      </c>
      <c r="P32" s="2" t="s">
        <v>164</v>
      </c>
    </row>
    <row r="33" spans="2:16" ht="13.95" customHeight="1" x14ac:dyDescent="0.3">
      <c r="B33" s="8" t="s">
        <v>165</v>
      </c>
      <c r="D33" s="17">
        <f>D32/C32-1</f>
        <v>-9.7309389247977052E-2</v>
      </c>
      <c r="E33" s="17">
        <f>E32/D32-1</f>
        <v>-1.7939156792350364E-2</v>
      </c>
      <c r="F33" s="17">
        <f t="shared" ref="F33:N33" si="1">IF(F31&gt;=NExp,g_,$E$33+(g_-$E$33)*(F31-1)/(NExp-1))</f>
        <v>1.3738954717664349E-3</v>
      </c>
      <c r="G33" s="17">
        <f t="shared" si="1"/>
        <v>2.0686947735883233E-2</v>
      </c>
      <c r="H33" s="17">
        <f t="shared" si="1"/>
        <v>4.0000000000000036E-2</v>
      </c>
      <c r="I33" s="17">
        <f t="shared" si="1"/>
        <v>4.0000000000000036E-2</v>
      </c>
      <c r="J33" s="17">
        <f t="shared" si="1"/>
        <v>4.0000000000000036E-2</v>
      </c>
      <c r="K33" s="17">
        <f t="shared" si="1"/>
        <v>4.0000000000000036E-2</v>
      </c>
      <c r="L33" s="17">
        <f t="shared" si="1"/>
        <v>4.0000000000000036E-2</v>
      </c>
      <c r="M33" s="17">
        <f t="shared" si="1"/>
        <v>4.0000000000000036E-2</v>
      </c>
      <c r="N33" s="17">
        <f t="shared" si="1"/>
        <v>4.0000000000000036E-2</v>
      </c>
      <c r="P33" s="2" t="s">
        <v>166</v>
      </c>
    </row>
    <row r="34" spans="2:16" ht="13.95" customHeight="1" x14ac:dyDescent="0.3">
      <c r="B34" s="8" t="s">
        <v>167</v>
      </c>
      <c r="C34" s="17">
        <f>'Box Consensus'!I22</f>
        <v>0.23604497979968808</v>
      </c>
      <c r="D34" s="17">
        <f>'Box Consensus'!J22</f>
        <v>0.18933914232149093</v>
      </c>
      <c r="E34" s="17">
        <f>'Box Consensus'!K22</f>
        <v>0.17110432141608195</v>
      </c>
      <c r="F34" s="17">
        <f t="shared" ref="F34:N34" si="2">IF(ISNUMBER($C$13),$C$13,$E$34)</f>
        <v>0.17110432141608195</v>
      </c>
      <c r="G34" s="17">
        <f t="shared" si="2"/>
        <v>0.17110432141608195</v>
      </c>
      <c r="H34" s="17">
        <f t="shared" si="2"/>
        <v>0.17110432141608195</v>
      </c>
      <c r="I34" s="17">
        <f t="shared" si="2"/>
        <v>0.17110432141608195</v>
      </c>
      <c r="J34" s="17">
        <f t="shared" si="2"/>
        <v>0.17110432141608195</v>
      </c>
      <c r="K34" s="17">
        <f t="shared" si="2"/>
        <v>0.17110432141608195</v>
      </c>
      <c r="L34" s="17">
        <f t="shared" si="2"/>
        <v>0.17110432141608195</v>
      </c>
      <c r="M34" s="17">
        <f t="shared" si="2"/>
        <v>0.17110432141608195</v>
      </c>
      <c r="N34" s="17">
        <f t="shared" si="2"/>
        <v>0.17110432141608195</v>
      </c>
      <c r="P34" s="2" t="s">
        <v>168</v>
      </c>
    </row>
    <row r="35" spans="2:16" ht="13.95" customHeight="1" x14ac:dyDescent="0.3">
      <c r="B35" s="8" t="s">
        <v>169</v>
      </c>
      <c r="C35" s="9">
        <f>'Box Consensus'!O22</f>
        <v>45211.605682124333</v>
      </c>
      <c r="D35" s="9">
        <f>'Box Consensus'!P22</f>
        <v>50879.545037150972</v>
      </c>
      <c r="E35" s="9">
        <f>'Box Consensus'!Q22</f>
        <v>55291.839876388978</v>
      </c>
      <c r="F35" s="9">
        <f t="shared" ref="F35:N35" si="3">F32/F34</f>
        <v>55367.805084820771</v>
      </c>
      <c r="G35" s="9">
        <f t="shared" si="3"/>
        <v>56513.195974861032</v>
      </c>
      <c r="H35" s="9">
        <f t="shared" si="3"/>
        <v>58773.723813855482</v>
      </c>
      <c r="I35" s="9">
        <f t="shared" si="3"/>
        <v>61124.672766409698</v>
      </c>
      <c r="J35" s="9">
        <f t="shared" si="3"/>
        <v>63569.659677066091</v>
      </c>
      <c r="K35" s="9">
        <f t="shared" si="3"/>
        <v>66112.446064148739</v>
      </c>
      <c r="L35" s="9">
        <f t="shared" si="3"/>
        <v>68756.943906714689</v>
      </c>
      <c r="M35" s="9">
        <f t="shared" si="3"/>
        <v>71507.221662983269</v>
      </c>
      <c r="N35" s="9">
        <f t="shared" si="3"/>
        <v>74367.510529502601</v>
      </c>
    </row>
    <row r="36" spans="2:16" ht="13.95" customHeight="1" x14ac:dyDescent="0.3">
      <c r="B36" s="22" t="s">
        <v>170</v>
      </c>
      <c r="D36" s="26">
        <f t="shared" ref="D36:N36" si="4">D32-(D35-C35)</f>
        <v>3965.5500640151968</v>
      </c>
      <c r="E36" s="26">
        <f t="shared" si="4"/>
        <v>5048.3779026581906</v>
      </c>
      <c r="F36" s="26">
        <f t="shared" si="4"/>
        <v>9397.705508904357</v>
      </c>
      <c r="G36" s="26">
        <f t="shared" si="4"/>
        <v>8524.261158292391</v>
      </c>
      <c r="H36" s="26">
        <f t="shared" si="4"/>
        <v>7795.910291271508</v>
      </c>
      <c r="I36" s="26">
        <f t="shared" si="4"/>
        <v>8107.7467029223808</v>
      </c>
      <c r="J36" s="26">
        <f t="shared" si="4"/>
        <v>8432.0565710392675</v>
      </c>
      <c r="K36" s="26">
        <f t="shared" si="4"/>
        <v>8769.33883388084</v>
      </c>
      <c r="L36" s="26">
        <f t="shared" si="4"/>
        <v>9120.1123872360768</v>
      </c>
      <c r="M36" s="26">
        <f t="shared" si="4"/>
        <v>9484.9168827255271</v>
      </c>
      <c r="N36" s="26">
        <f t="shared" si="4"/>
        <v>9864.3135580345406</v>
      </c>
      <c r="P36" s="2" t="s">
        <v>171</v>
      </c>
    </row>
    <row r="37" spans="2:16" ht="13.95" customHeight="1" x14ac:dyDescent="0.3">
      <c r="B37" s="8" t="s">
        <v>172</v>
      </c>
      <c r="D37" s="17">
        <f t="shared" ref="D37:N37" si="5">D36/D32</f>
        <v>0.41164212587152221</v>
      </c>
      <c r="E37" s="17">
        <f t="shared" si="5"/>
        <v>0.53361722156413449</v>
      </c>
      <c r="F37" s="17">
        <f t="shared" si="5"/>
        <v>0.99198143880040268</v>
      </c>
      <c r="G37" s="17">
        <f t="shared" si="5"/>
        <v>0.88154786911512895</v>
      </c>
      <c r="H37" s="17">
        <f t="shared" si="5"/>
        <v>0.77521585578186547</v>
      </c>
      <c r="I37" s="17">
        <f t="shared" si="5"/>
        <v>0.77521585578186669</v>
      </c>
      <c r="J37" s="17">
        <f t="shared" si="5"/>
        <v>0.77521585578186591</v>
      </c>
      <c r="K37" s="17">
        <f t="shared" si="5"/>
        <v>0.77521585578186603</v>
      </c>
      <c r="L37" s="17">
        <f t="shared" si="5"/>
        <v>0.77521585578186625</v>
      </c>
      <c r="M37" s="17">
        <f t="shared" si="5"/>
        <v>0.77521585578186691</v>
      </c>
      <c r="N37" s="17">
        <f t="shared" si="5"/>
        <v>0.77521585578186625</v>
      </c>
      <c r="P37" s="2" t="s">
        <v>173</v>
      </c>
    </row>
    <row r="39" spans="2:16" ht="13.95" customHeight="1" x14ac:dyDescent="0.3">
      <c r="B39" s="48" t="s">
        <v>174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</row>
    <row r="40" spans="2:16" ht="13.95" customHeight="1" x14ac:dyDescent="0.3">
      <c r="B40" s="6" t="s">
        <v>106</v>
      </c>
      <c r="C40" s="7" t="s">
        <v>139</v>
      </c>
      <c r="D40" s="7" t="s">
        <v>140</v>
      </c>
      <c r="E40" s="7" t="s">
        <v>141</v>
      </c>
      <c r="P40" s="7" t="s">
        <v>142</v>
      </c>
    </row>
    <row r="41" spans="2:16" ht="13.95" customHeight="1" x14ac:dyDescent="0.3">
      <c r="B41" s="8" t="s">
        <v>175</v>
      </c>
      <c r="C41" s="21">
        <f>C26</f>
        <v>0.15421000000000001</v>
      </c>
      <c r="D41" s="21">
        <f>D26</f>
        <v>0.13941999999999999</v>
      </c>
      <c r="E41" s="21">
        <f>E26</f>
        <v>0.12870999999999999</v>
      </c>
    </row>
    <row r="42" spans="2:16" ht="13.95" customHeight="1" x14ac:dyDescent="0.3">
      <c r="B42" s="8" t="s">
        <v>176</v>
      </c>
      <c r="C42" s="27">
        <v>-0.2</v>
      </c>
      <c r="D42" s="27">
        <v>0</v>
      </c>
      <c r="E42" s="27">
        <v>0.2</v>
      </c>
      <c r="P42" s="2" t="s">
        <v>177</v>
      </c>
    </row>
    <row r="43" spans="2:16" ht="13.95" customHeight="1" x14ac:dyDescent="0.3">
      <c r="B43" s="8" t="s">
        <v>178</v>
      </c>
      <c r="C43" s="28">
        <f>$C$12*C42</f>
        <v>-0.25240000000000001</v>
      </c>
      <c r="D43" s="28">
        <f>$C$12*D42</f>
        <v>0</v>
      </c>
      <c r="E43" s="28">
        <f>$C$12*E42</f>
        <v>0.25240000000000001</v>
      </c>
      <c r="P43" s="2" t="s">
        <v>179</v>
      </c>
    </row>
    <row r="44" spans="2:16" ht="13.95" customHeight="1" x14ac:dyDescent="0.3">
      <c r="B44" s="8" t="s">
        <v>180</v>
      </c>
      <c r="C44" s="9">
        <f>(1+C43)*SUMPRODUCT($E$36:$N$36,--($E$31:$N$31&lt;=NExp),1/(1+C41)^$E$31:$N$31)</f>
        <v>15972.133426596027</v>
      </c>
      <c r="D44" s="9">
        <f>(1+D43)*SUMPRODUCT($E$36:$N$36,--($E$31:$N$31&lt;=NExp),1/(1+D41)^$E$31:$N$31)</f>
        <v>22056.883344564721</v>
      </c>
      <c r="E44" s="9">
        <f>(1+E43)*SUMPRODUCT($E$36:$N$36,--($E$31:$N$31&lt;=NExp),1/(1+E41)^$E$31:$N$31)</f>
        <v>28279.949555736399</v>
      </c>
      <c r="P44" s="2" t="s">
        <v>181</v>
      </c>
    </row>
    <row r="45" spans="2:16" ht="13.95" customHeight="1" x14ac:dyDescent="0.3">
      <c r="B45" s="8" t="s">
        <v>182</v>
      </c>
      <c r="C45" s="9">
        <f>INDEX($E$36:$N$36,NExp)*(1+C43)*(1+g_)/(C41-g_)</f>
        <v>53071.985247393088</v>
      </c>
      <c r="D45" s="9">
        <f>INDEX($E$36:$N$36,NExp)*(1+D43)*(1+g_)/(D41-g_)</f>
        <v>81550.459695457379</v>
      </c>
      <c r="E45" s="9">
        <f>INDEX($E$36:$N$36,NExp)*(1+E43)*(1+g_)/(E41-g_)</f>
        <v>114464.45689031651</v>
      </c>
      <c r="P45" s="2" t="s">
        <v>183</v>
      </c>
    </row>
    <row r="46" spans="2:16" ht="13.95" customHeight="1" x14ac:dyDescent="0.3">
      <c r="B46" s="8" t="s">
        <v>184</v>
      </c>
      <c r="C46" s="9">
        <f>C45/(1+C41)^(NExp+TVx)</f>
        <v>29903.774059698313</v>
      </c>
      <c r="D46" s="9">
        <f>D45/(1+D41)^(NExp+TVx)</f>
        <v>48382.80693484372</v>
      </c>
      <c r="E46" s="9">
        <f>E45/(1+E41)^(NExp+TVx)</f>
        <v>70524.685951647582</v>
      </c>
    </row>
    <row r="47" spans="2:16" ht="13.95" customHeight="1" x14ac:dyDescent="0.3">
      <c r="B47" s="22" t="s">
        <v>185</v>
      </c>
      <c r="C47" s="26">
        <f>C44+C46</f>
        <v>45875.907486294338</v>
      </c>
      <c r="D47" s="26">
        <f>D44+D46</f>
        <v>70439.690279408445</v>
      </c>
      <c r="E47" s="26">
        <f>E44+E46</f>
        <v>98804.63550738398</v>
      </c>
    </row>
    <row r="48" spans="2:16" ht="13.95" customHeight="1" x14ac:dyDescent="0.3">
      <c r="B48" s="22" t="s">
        <v>186</v>
      </c>
      <c r="C48" s="29">
        <f>C47/$C$7-1</f>
        <v>-0.29865335918792746</v>
      </c>
      <c r="D48" s="29">
        <f>D47/$C$7-1</f>
        <v>7.68754857234204E-2</v>
      </c>
      <c r="E48" s="29">
        <f>E47/$C$7-1</f>
        <v>0.51051615121657479</v>
      </c>
    </row>
    <row r="49" spans="2:16" ht="13.95" customHeight="1" x14ac:dyDescent="0.3">
      <c r="B49" s="8" t="s">
        <v>187</v>
      </c>
      <c r="C49" s="17">
        <f>C46/C47</f>
        <v>0.65184049097300623</v>
      </c>
      <c r="D49" s="17">
        <f>D46/D47</f>
        <v>0.68686853594794139</v>
      </c>
      <c r="E49" s="17">
        <f>E46/E47</f>
        <v>0.71377912169289925</v>
      </c>
    </row>
    <row r="50" spans="2:16" ht="13.95" customHeight="1" x14ac:dyDescent="0.3">
      <c r="B50" s="8" t="s">
        <v>188</v>
      </c>
      <c r="C50" s="30">
        <v>-0.1</v>
      </c>
      <c r="D50" s="30">
        <v>0.5</v>
      </c>
      <c r="E50" s="30">
        <v>1.28</v>
      </c>
      <c r="P50" s="2" t="s">
        <v>189</v>
      </c>
    </row>
    <row r="51" spans="2:16" ht="13.95" customHeight="1" x14ac:dyDescent="0.3">
      <c r="B51" s="8" t="s">
        <v>190</v>
      </c>
      <c r="C51" s="30">
        <v>-0.17</v>
      </c>
      <c r="D51" s="30">
        <v>0.17</v>
      </c>
      <c r="E51" s="30">
        <v>0.55000000000000004</v>
      </c>
      <c r="P51" s="2" t="s">
        <v>191</v>
      </c>
    </row>
    <row r="53" spans="2:16" ht="13.95" customHeight="1" x14ac:dyDescent="0.3">
      <c r="B53" s="48" t="s">
        <v>192</v>
      </c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</row>
    <row r="54" spans="2:16" ht="13.95" customHeight="1" x14ac:dyDescent="0.3">
      <c r="B54" s="6" t="s">
        <v>193</v>
      </c>
      <c r="C54" s="31">
        <v>-0.02</v>
      </c>
      <c r="D54" s="31">
        <v>-0.01</v>
      </c>
      <c r="E54" s="31">
        <v>0</v>
      </c>
      <c r="F54" s="31">
        <v>0.01</v>
      </c>
      <c r="G54" s="31">
        <v>0.02</v>
      </c>
    </row>
    <row r="55" spans="2:16" ht="13.95" customHeight="1" x14ac:dyDescent="0.3">
      <c r="B55" s="32">
        <v>0.12</v>
      </c>
      <c r="C55" s="33">
        <f t="shared" ref="C55:G60" si="6">(SUMPRODUCT($E$36:$N$36,--($E$31:$N$31&lt;=NExp),1/(1+$B55)^$E$31:$N$31)+INDEX($E$36:$N$36,NExp)*(1+((1+$C$8)*(1+C$54)-1))/($B55-((1+$C$8)*(1+C$54)-1))/(1+$B55)^(NExp+TVx))/$C$7-1</f>
        <v>0.11779110571345464</v>
      </c>
      <c r="D55" s="33">
        <f t="shared" si="6"/>
        <v>0.21461113164914281</v>
      </c>
      <c r="E55" s="33">
        <f t="shared" si="6"/>
        <v>0.33660436432810936</v>
      </c>
      <c r="F55" s="33">
        <f t="shared" si="6"/>
        <v>0.49505534470423851</v>
      </c>
      <c r="G55" s="33">
        <f t="shared" si="6"/>
        <v>0.70917829115846698</v>
      </c>
    </row>
    <row r="56" spans="2:16" ht="13.95" customHeight="1" x14ac:dyDescent="0.3">
      <c r="B56" s="32">
        <v>0.13</v>
      </c>
      <c r="C56" s="33">
        <f t="shared" si="6"/>
        <v>1.6619299859692793E-2</v>
      </c>
      <c r="D56" s="33">
        <f t="shared" si="6"/>
        <v>9.3841011132818286E-2</v>
      </c>
      <c r="E56" s="33">
        <f t="shared" si="6"/>
        <v>0.18890951790017718</v>
      </c>
      <c r="F56" s="33">
        <f t="shared" si="6"/>
        <v>0.30882004653639372</v>
      </c>
      <c r="G56" s="33">
        <f t="shared" si="6"/>
        <v>0.46477304620777349</v>
      </c>
    </row>
    <row r="57" spans="2:16" ht="13.95" customHeight="1" x14ac:dyDescent="0.3">
      <c r="B57" s="32">
        <v>0.1394</v>
      </c>
      <c r="C57" s="33">
        <f t="shared" si="6"/>
        <v>-6.3177101438871897E-2</v>
      </c>
      <c r="D57" s="33">
        <f t="shared" si="6"/>
        <v>3.1398696631268486E-4</v>
      </c>
      <c r="E57" s="33">
        <f t="shared" si="6"/>
        <v>7.7090936929121501E-2</v>
      </c>
      <c r="F57" s="33">
        <f t="shared" si="6"/>
        <v>0.17181126396188984</v>
      </c>
      <c r="G57" s="33">
        <f t="shared" si="6"/>
        <v>0.29159752995498378</v>
      </c>
    </row>
    <row r="58" spans="2:16" ht="13.95" customHeight="1" x14ac:dyDescent="0.3">
      <c r="B58" s="32">
        <v>0.15</v>
      </c>
      <c r="C58" s="33">
        <f t="shared" si="6"/>
        <v>-0.13944559208546725</v>
      </c>
      <c r="D58" s="33">
        <f t="shared" si="6"/>
        <v>-8.7694386287391346E-2</v>
      </c>
      <c r="E58" s="33">
        <f t="shared" si="6"/>
        <v>-2.6157497938406382E-2</v>
      </c>
      <c r="F58" s="33">
        <f t="shared" si="6"/>
        <v>4.8230467495506968E-2</v>
      </c>
      <c r="G58" s="33">
        <f t="shared" si="6"/>
        <v>0.13996450558665585</v>
      </c>
    </row>
    <row r="59" spans="2:16" ht="13.95" customHeight="1" x14ac:dyDescent="0.3">
      <c r="B59" s="32">
        <v>0.16</v>
      </c>
      <c r="C59" s="33">
        <f t="shared" si="6"/>
        <v>-0.20090748806583536</v>
      </c>
      <c r="D59" s="33">
        <f t="shared" si="6"/>
        <v>-0.15765670136738863</v>
      </c>
      <c r="E59" s="33">
        <f t="shared" si="6"/>
        <v>-0.10690911164121131</v>
      </c>
      <c r="F59" s="33">
        <f t="shared" si="6"/>
        <v>-4.6530592477949106E-2</v>
      </c>
      <c r="G59" s="33">
        <f t="shared" si="6"/>
        <v>2.6507938767932337E-2</v>
      </c>
    </row>
    <row r="60" spans="2:16" ht="13.95" customHeight="1" x14ac:dyDescent="0.3">
      <c r="B60" s="32">
        <v>0.17</v>
      </c>
      <c r="C60" s="33">
        <f t="shared" si="6"/>
        <v>-0.25424978212805605</v>
      </c>
      <c r="D60" s="33">
        <f t="shared" si="6"/>
        <v>-0.21769685247139126</v>
      </c>
      <c r="E60" s="33">
        <f t="shared" si="6"/>
        <v>-0.17529545406966029</v>
      </c>
      <c r="F60" s="33">
        <f t="shared" si="6"/>
        <v>-0.12551989942414998</v>
      </c>
      <c r="G60" s="33">
        <f t="shared" si="6"/>
        <v>-6.62632867509233E-2</v>
      </c>
    </row>
    <row r="62" spans="2:16" ht="13.95" customHeight="1" x14ac:dyDescent="0.3">
      <c r="B62" s="2" t="s">
        <v>194</v>
      </c>
    </row>
    <row r="64" spans="2:16" ht="13.95" customHeight="1" x14ac:dyDescent="0.3">
      <c r="B64" s="48" t="s">
        <v>195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spans="2:16" ht="13.95" customHeight="1" x14ac:dyDescent="0.3">
      <c r="B65" s="34" t="s">
        <v>196</v>
      </c>
      <c r="P65" s="2" t="s">
        <v>197</v>
      </c>
    </row>
    <row r="66" spans="2:16" ht="13.95" customHeight="1" x14ac:dyDescent="0.3">
      <c r="B66" s="34" t="s">
        <v>198</v>
      </c>
      <c r="P66" s="2" t="s">
        <v>199</v>
      </c>
    </row>
    <row r="67" spans="2:16" ht="13.95" customHeight="1" x14ac:dyDescent="0.3">
      <c r="B67" s="34" t="s">
        <v>200</v>
      </c>
      <c r="P67" s="2" t="s">
        <v>201</v>
      </c>
    </row>
    <row r="68" spans="2:16" ht="13.95" customHeight="1" x14ac:dyDescent="0.3">
      <c r="B68" s="34" t="s">
        <v>202</v>
      </c>
      <c r="P68" s="2" t="s">
        <v>203</v>
      </c>
    </row>
    <row r="69" spans="2:16" ht="13.95" customHeight="1" x14ac:dyDescent="0.3">
      <c r="B69" s="34" t="s">
        <v>204</v>
      </c>
      <c r="P69" s="2" t="s">
        <v>205</v>
      </c>
    </row>
    <row r="70" spans="2:16" ht="13.95" customHeight="1" x14ac:dyDescent="0.3">
      <c r="B70" s="34" t="s">
        <v>206</v>
      </c>
      <c r="P70" s="2" t="s">
        <v>207</v>
      </c>
    </row>
    <row r="71" spans="2:16" ht="13.95" customHeight="1" x14ac:dyDescent="0.3">
      <c r="B71" s="34" t="s">
        <v>208</v>
      </c>
      <c r="P71" s="2" t="s">
        <v>209</v>
      </c>
    </row>
    <row r="72" spans="2:16" ht="13.95" customHeight="1" x14ac:dyDescent="0.3">
      <c r="B72" s="34" t="s">
        <v>210</v>
      </c>
      <c r="P72" s="2" t="s">
        <v>211</v>
      </c>
    </row>
    <row r="73" spans="2:16" ht="13.95" customHeight="1" x14ac:dyDescent="0.3">
      <c r="B73" s="34" t="s">
        <v>212</v>
      </c>
      <c r="P73" s="2" t="s">
        <v>125</v>
      </c>
    </row>
  </sheetData>
  <mergeCells count="7">
    <mergeCell ref="B53:P53"/>
    <mergeCell ref="B64:P64"/>
    <mergeCell ref="B5:P5"/>
    <mergeCell ref="B15:P15"/>
    <mergeCell ref="B22:P22"/>
    <mergeCell ref="B29:P29"/>
    <mergeCell ref="B39:P39"/>
  </mergeCells>
  <conditionalFormatting sqref="C55:G60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E31:N31">
    <cfRule type="expression" dxfId="0" priority="1">
      <formula>E$31&gt;NExp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28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3.95" customHeight="1" x14ac:dyDescent="0.3"/>
  <cols>
    <col min="1" max="1" width="2.6640625" customWidth="1"/>
    <col min="2" max="2" width="34.6640625" customWidth="1"/>
    <col min="3" max="17" width="11.33203125" customWidth="1"/>
  </cols>
  <sheetData>
    <row r="1" spans="2:17" ht="30" customHeight="1" x14ac:dyDescent="0.3">
      <c r="B1" s="1" t="s">
        <v>0</v>
      </c>
    </row>
    <row r="2" spans="2:17" ht="13.95" customHeight="1" x14ac:dyDescent="0.3">
      <c r="B2" s="2" t="s">
        <v>1</v>
      </c>
    </row>
    <row r="3" spans="2:17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6" spans="2:17" ht="43.95" customHeight="1" x14ac:dyDescent="0.3">
      <c r="B6" s="6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</row>
    <row r="7" spans="2:17" ht="13.95" customHeight="1" x14ac:dyDescent="0.3">
      <c r="B7" s="34" t="s">
        <v>22</v>
      </c>
      <c r="C7" s="35">
        <v>18861.588447163969</v>
      </c>
      <c r="D7" s="36">
        <v>292583.69298124989</v>
      </c>
      <c r="E7" s="37">
        <f t="shared" ref="E7:E21" si="0">C7/D7</f>
        <v>6.446561752972578E-2</v>
      </c>
      <c r="F7" s="36">
        <v>37349.381000000001</v>
      </c>
      <c r="G7" s="36">
        <v>38936.048000000003</v>
      </c>
      <c r="H7" s="36">
        <v>39670.894999999997</v>
      </c>
      <c r="I7" s="38">
        <v>0.18961</v>
      </c>
      <c r="J7" s="38">
        <v>0.18174000000000001</v>
      </c>
      <c r="K7" s="38">
        <v>0.16600999999999999</v>
      </c>
      <c r="L7" s="39">
        <f t="shared" ref="L7:L21" si="1">F7*$E7</f>
        <v>2407.750910518007</v>
      </c>
      <c r="M7" s="39">
        <f t="shared" ref="M7:M21" si="2">G7*$E7</f>
        <v>2510.0363784870447</v>
      </c>
      <c r="N7" s="39">
        <f t="shared" ref="N7:N21" si="3">H7*$E7</f>
        <v>2557.4087441319107</v>
      </c>
      <c r="O7" s="39">
        <f t="shared" ref="O7:O21" si="4">L7/I7</f>
        <v>12698.438428975302</v>
      </c>
      <c r="P7" s="39">
        <f t="shared" ref="P7:P21" si="5">M7/J7</f>
        <v>13811.138871393443</v>
      </c>
      <c r="Q7" s="39">
        <f t="shared" ref="Q7:Q21" si="6">N7/K7</f>
        <v>15405.148750869892</v>
      </c>
    </row>
    <row r="8" spans="2:17" ht="13.95" customHeight="1" x14ac:dyDescent="0.3">
      <c r="B8" s="34" t="s">
        <v>23</v>
      </c>
      <c r="C8" s="35">
        <v>28130.206887498189</v>
      </c>
      <c r="D8" s="36">
        <v>742814.41441016982</v>
      </c>
      <c r="E8" s="37">
        <f t="shared" si="0"/>
        <v>3.7869764428083853E-2</v>
      </c>
      <c r="F8" s="36">
        <v>159783.85699999999</v>
      </c>
      <c r="G8" s="36">
        <v>134066.28599999999</v>
      </c>
      <c r="H8" s="36">
        <v>123997.15399999999</v>
      </c>
      <c r="I8" s="38">
        <v>0.31741000000000003</v>
      </c>
      <c r="J8" s="38">
        <v>0.22128999999999999</v>
      </c>
      <c r="K8" s="38">
        <v>0.18461</v>
      </c>
      <c r="L8" s="39">
        <f t="shared" si="1"/>
        <v>6050.9770240006364</v>
      </c>
      <c r="M8" s="39">
        <f t="shared" si="2"/>
        <v>5077.0586685681164</v>
      </c>
      <c r="N8" s="39">
        <f t="shared" si="3"/>
        <v>4695.7430117328349</v>
      </c>
      <c r="O8" s="39">
        <f t="shared" si="4"/>
        <v>19063.599206076167</v>
      </c>
      <c r="P8" s="39">
        <f t="shared" si="5"/>
        <v>22943.009935234837</v>
      </c>
      <c r="Q8" s="39">
        <f t="shared" si="6"/>
        <v>25436.016530701669</v>
      </c>
    </row>
    <row r="9" spans="2:17" ht="13.95" customHeight="1" x14ac:dyDescent="0.3">
      <c r="B9" s="34" t="s">
        <v>24</v>
      </c>
      <c r="C9" s="35">
        <v>3466.2926876420952</v>
      </c>
      <c r="D9" s="36">
        <v>54626.928416429997</v>
      </c>
      <c r="E9" s="37">
        <f t="shared" si="0"/>
        <v>6.3453918939354967E-2</v>
      </c>
      <c r="F9" s="36">
        <v>7814.3</v>
      </c>
      <c r="G9" s="36">
        <v>7794.3639999999996</v>
      </c>
      <c r="H9" s="36">
        <v>7817.4549999999999</v>
      </c>
      <c r="I9" s="38">
        <v>0.28075</v>
      </c>
      <c r="J9" s="38">
        <v>0.25385000000000002</v>
      </c>
      <c r="K9" s="38">
        <v>0.27792</v>
      </c>
      <c r="L9" s="39">
        <f t="shared" si="1"/>
        <v>495.84795876780152</v>
      </c>
      <c r="M9" s="39">
        <f t="shared" si="2"/>
        <v>494.58294143982653</v>
      </c>
      <c r="N9" s="39">
        <f t="shared" si="3"/>
        <v>496.0481558820552</v>
      </c>
      <c r="O9" s="39">
        <f t="shared" si="4"/>
        <v>1766.1547952548585</v>
      </c>
      <c r="P9" s="39">
        <f t="shared" si="5"/>
        <v>1948.3275219217117</v>
      </c>
      <c r="Q9" s="39">
        <f t="shared" si="6"/>
        <v>1784.8595131046891</v>
      </c>
    </row>
    <row r="10" spans="2:17" ht="13.95" customHeight="1" x14ac:dyDescent="0.3">
      <c r="B10" s="34" t="s">
        <v>25</v>
      </c>
      <c r="C10" s="35">
        <v>3300.0682505491141</v>
      </c>
      <c r="D10" s="36">
        <v>45006.060626600003</v>
      </c>
      <c r="E10" s="37">
        <f t="shared" si="0"/>
        <v>7.3324974561285408E-2</v>
      </c>
      <c r="F10" s="36">
        <v>6856.0709999999999</v>
      </c>
      <c r="G10" s="36">
        <v>4105.0709999999999</v>
      </c>
      <c r="H10" s="36">
        <v>4567.308</v>
      </c>
      <c r="I10" s="38">
        <v>0.30051</v>
      </c>
      <c r="J10" s="38">
        <v>0.16930000000000001</v>
      </c>
      <c r="K10" s="38">
        <v>0.17702999999999999</v>
      </c>
      <c r="L10" s="39">
        <f t="shared" si="1"/>
        <v>502.72123166536659</v>
      </c>
      <c r="M10" s="39">
        <f t="shared" si="2"/>
        <v>301.00422664727046</v>
      </c>
      <c r="N10" s="39">
        <f t="shared" si="3"/>
        <v>334.89774291355536</v>
      </c>
      <c r="O10" s="39">
        <f t="shared" si="4"/>
        <v>1672.893519900724</v>
      </c>
      <c r="P10" s="39">
        <f t="shared" si="5"/>
        <v>1777.9340026418809</v>
      </c>
      <c r="Q10" s="39">
        <f t="shared" si="6"/>
        <v>1891.7570067985955</v>
      </c>
    </row>
    <row r="11" spans="2:17" ht="13.95" customHeight="1" x14ac:dyDescent="0.3">
      <c r="B11" s="34" t="s">
        <v>26</v>
      </c>
      <c r="C11" s="35">
        <v>2985.2771915000189</v>
      </c>
      <c r="D11" s="36">
        <v>43216.865581289989</v>
      </c>
      <c r="E11" s="37">
        <f t="shared" si="0"/>
        <v>6.9076670678135541E-2</v>
      </c>
      <c r="F11" s="36">
        <v>5020.2730000000001</v>
      </c>
      <c r="G11" s="36">
        <v>3493.364</v>
      </c>
      <c r="H11" s="36">
        <v>3939.2</v>
      </c>
      <c r="I11" s="38">
        <v>0.28287000000000001</v>
      </c>
      <c r="J11" s="38">
        <v>0.18903</v>
      </c>
      <c r="K11" s="38">
        <v>0.19763</v>
      </c>
      <c r="L11" s="39">
        <f t="shared" si="1"/>
        <v>346.78374473533557</v>
      </c>
      <c r="M11" s="39">
        <f t="shared" si="2"/>
        <v>241.30995458685427</v>
      </c>
      <c r="N11" s="39">
        <f t="shared" si="3"/>
        <v>272.10682113531152</v>
      </c>
      <c r="O11" s="39">
        <f t="shared" si="4"/>
        <v>1225.9474130707943</v>
      </c>
      <c r="P11" s="39">
        <f t="shared" si="5"/>
        <v>1276.5696163934522</v>
      </c>
      <c r="Q11" s="39">
        <f t="shared" si="6"/>
        <v>1376.8497755164274</v>
      </c>
    </row>
    <row r="12" spans="2:17" ht="13.95" customHeight="1" x14ac:dyDescent="0.3">
      <c r="B12" s="34" t="s">
        <v>27</v>
      </c>
      <c r="C12" s="35">
        <v>2308.3046369258868</v>
      </c>
      <c r="D12" s="36">
        <v>47327.830392279997</v>
      </c>
      <c r="E12" s="37">
        <f t="shared" si="0"/>
        <v>4.8772669648985474E-2</v>
      </c>
      <c r="F12" s="36">
        <v>5373.0770000000002</v>
      </c>
      <c r="G12" s="36">
        <v>5819.5379999999996</v>
      </c>
      <c r="H12" s="36">
        <v>5690.7</v>
      </c>
      <c r="I12" s="38">
        <v>9.7880000000000009E-2</v>
      </c>
      <c r="J12" s="38">
        <v>0.10334</v>
      </c>
      <c r="K12" s="38">
        <v>9.8830000000000015E-2</v>
      </c>
      <c r="L12" s="39">
        <f t="shared" si="1"/>
        <v>262.05930951956191</v>
      </c>
      <c r="M12" s="39">
        <f t="shared" si="2"/>
        <v>283.83440438371758</v>
      </c>
      <c r="N12" s="39">
        <f t="shared" si="3"/>
        <v>277.55063117148165</v>
      </c>
      <c r="O12" s="39">
        <f t="shared" si="4"/>
        <v>2677.3529783363492</v>
      </c>
      <c r="P12" s="39">
        <f t="shared" si="5"/>
        <v>2746.6073580773909</v>
      </c>
      <c r="Q12" s="39">
        <f t="shared" si="6"/>
        <v>2808.3641725334578</v>
      </c>
    </row>
    <row r="13" spans="2:17" ht="13.95" customHeight="1" x14ac:dyDescent="0.3">
      <c r="B13" s="34" t="s">
        <v>28</v>
      </c>
      <c r="C13" s="35">
        <v>1834.4477601386809</v>
      </c>
      <c r="D13" s="36">
        <v>53320.481000699998</v>
      </c>
      <c r="E13" s="37">
        <f t="shared" si="0"/>
        <v>3.440418626596032E-2</v>
      </c>
      <c r="F13" s="36">
        <v>9407.2139999999999</v>
      </c>
      <c r="G13" s="36">
        <v>6888.4000000000005</v>
      </c>
      <c r="H13" s="36">
        <v>7008</v>
      </c>
      <c r="I13" s="38">
        <v>0.17596000000000001</v>
      </c>
      <c r="J13" s="38">
        <v>0.11924</v>
      </c>
      <c r="K13" s="38">
        <v>0.10178</v>
      </c>
      <c r="L13" s="39">
        <f t="shared" si="1"/>
        <v>323.64754269974964</v>
      </c>
      <c r="M13" s="39">
        <f t="shared" si="2"/>
        <v>236.9897966744411</v>
      </c>
      <c r="N13" s="39">
        <f t="shared" si="3"/>
        <v>241.10453735184993</v>
      </c>
      <c r="O13" s="39">
        <f t="shared" si="4"/>
        <v>1839.3245209124211</v>
      </c>
      <c r="P13" s="39">
        <f t="shared" si="5"/>
        <v>1987.5024880446251</v>
      </c>
      <c r="Q13" s="39">
        <f t="shared" si="6"/>
        <v>2368.8793215941241</v>
      </c>
    </row>
    <row r="14" spans="2:17" ht="13.95" customHeight="1" x14ac:dyDescent="0.3">
      <c r="B14" s="34" t="s">
        <v>29</v>
      </c>
      <c r="C14" s="35">
        <v>1042.052179322015</v>
      </c>
      <c r="D14" s="36">
        <v>23199.922219775799</v>
      </c>
      <c r="E14" s="37">
        <f t="shared" si="0"/>
        <v>4.4916192797998321E-2</v>
      </c>
      <c r="F14" s="36">
        <v>1009.727</v>
      </c>
      <c r="G14" s="36">
        <v>1680.5830000000001</v>
      </c>
      <c r="H14" s="36">
        <v>1980.5450000000001</v>
      </c>
      <c r="I14" s="38">
        <v>0.17710999999999999</v>
      </c>
      <c r="J14" s="38">
        <v>0.19678000000000001</v>
      </c>
      <c r="K14" s="38">
        <v>0.30386999999999997</v>
      </c>
      <c r="L14" s="39">
        <f t="shared" si="1"/>
        <v>45.35309260534445</v>
      </c>
      <c r="M14" s="39">
        <f t="shared" si="2"/>
        <v>75.485390041038414</v>
      </c>
      <c r="N14" s="39">
        <f t="shared" si="3"/>
        <v>88.958541065111589</v>
      </c>
      <c r="O14" s="39">
        <f t="shared" si="4"/>
        <v>256.07302018714051</v>
      </c>
      <c r="P14" s="39">
        <f t="shared" si="5"/>
        <v>383.60295782619374</v>
      </c>
      <c r="Q14" s="39">
        <f t="shared" si="6"/>
        <v>292.75196980653436</v>
      </c>
    </row>
    <row r="15" spans="2:17" ht="13.95" customHeight="1" x14ac:dyDescent="0.3">
      <c r="B15" s="34" t="s">
        <v>30</v>
      </c>
      <c r="C15" s="35">
        <v>838.67827380624749</v>
      </c>
      <c r="D15" s="36">
        <v>20031.183206599999</v>
      </c>
      <c r="E15" s="37">
        <f t="shared" si="0"/>
        <v>4.1868633777455269E-2</v>
      </c>
      <c r="F15" s="36">
        <v>-856.55000000000007</v>
      </c>
      <c r="G15" s="36">
        <v>2196.857</v>
      </c>
      <c r="H15" s="36">
        <v>3607.1669999999999</v>
      </c>
      <c r="I15" s="38">
        <v>-0.1221</v>
      </c>
      <c r="J15" s="38">
        <v>0.18459999999999999</v>
      </c>
      <c r="K15" s="38">
        <v>0.21346999999999999</v>
      </c>
      <c r="L15" s="39">
        <f t="shared" si="1"/>
        <v>-35.86257826207931</v>
      </c>
      <c r="M15" s="39">
        <f t="shared" si="2"/>
        <v>91.979401194439049</v>
      </c>
      <c r="N15" s="39">
        <f t="shared" si="3"/>
        <v>151.02715409712198</v>
      </c>
      <c r="O15" s="39">
        <f t="shared" si="4"/>
        <v>293.71480968123922</v>
      </c>
      <c r="P15" s="39">
        <f t="shared" si="5"/>
        <v>498.26327840974568</v>
      </c>
      <c r="Q15" s="39">
        <f t="shared" si="6"/>
        <v>707.48655125835944</v>
      </c>
    </row>
    <row r="16" spans="2:17" ht="13.95" customHeight="1" x14ac:dyDescent="0.3">
      <c r="B16" s="34" t="s">
        <v>31</v>
      </c>
      <c r="C16" s="35">
        <v>699.8953923879684</v>
      </c>
      <c r="D16" s="36">
        <v>14527.91584475166</v>
      </c>
      <c r="E16" s="37">
        <f t="shared" si="0"/>
        <v>4.8175898034322102E-2</v>
      </c>
      <c r="F16" s="36">
        <v>1932</v>
      </c>
      <c r="G16" s="36">
        <v>1686</v>
      </c>
      <c r="H16" s="40">
        <v>1648.673863801559</v>
      </c>
      <c r="I16" s="38">
        <v>9.8900000000000002E-2</v>
      </c>
      <c r="J16" s="10">
        <v>0.10334</v>
      </c>
      <c r="K16" s="10">
        <v>9.8830000000000015E-2</v>
      </c>
      <c r="L16" s="39">
        <f t="shared" si="1"/>
        <v>93.075835002310299</v>
      </c>
      <c r="M16" s="39">
        <f t="shared" si="2"/>
        <v>81.224564085867058</v>
      </c>
      <c r="N16" s="39">
        <f t="shared" si="3"/>
        <v>79.426343954355758</v>
      </c>
      <c r="O16" s="39">
        <f t="shared" si="4"/>
        <v>941.11056625187359</v>
      </c>
      <c r="P16" s="39">
        <f t="shared" si="5"/>
        <v>785.99345931746711</v>
      </c>
      <c r="Q16" s="39">
        <f t="shared" si="6"/>
        <v>803.66633567090707</v>
      </c>
    </row>
    <row r="17" spans="2:17" ht="13.95" customHeight="1" x14ac:dyDescent="0.3">
      <c r="B17" s="34" t="s">
        <v>32</v>
      </c>
      <c r="C17" s="35">
        <v>569.56628322341192</v>
      </c>
      <c r="D17" s="36">
        <v>26997.261353860002</v>
      </c>
      <c r="E17" s="37">
        <f t="shared" si="0"/>
        <v>2.1097187442754326E-2</v>
      </c>
      <c r="F17" s="36">
        <v>1535.0909999999999</v>
      </c>
      <c r="G17" s="36">
        <v>1364.7</v>
      </c>
      <c r="H17" s="36">
        <v>1844</v>
      </c>
      <c r="I17" s="38">
        <v>0.18611</v>
      </c>
      <c r="J17" s="38">
        <v>0.19103999999999999</v>
      </c>
      <c r="K17" s="38">
        <v>0.33770000000000011</v>
      </c>
      <c r="L17" s="39">
        <f t="shared" si="1"/>
        <v>32.386102568685182</v>
      </c>
      <c r="M17" s="39">
        <f t="shared" si="2"/>
        <v>28.791331703126829</v>
      </c>
      <c r="N17" s="39">
        <f t="shared" si="3"/>
        <v>38.903213644438978</v>
      </c>
      <c r="O17" s="39">
        <f t="shared" si="4"/>
        <v>174.01591837453753</v>
      </c>
      <c r="P17" s="39">
        <f t="shared" si="5"/>
        <v>150.70839459341934</v>
      </c>
      <c r="Q17" s="39">
        <f t="shared" si="6"/>
        <v>115.20051419733184</v>
      </c>
    </row>
    <row r="18" spans="2:17" ht="13.95" customHeight="1" x14ac:dyDescent="0.3">
      <c r="B18" s="34" t="s">
        <v>33</v>
      </c>
      <c r="C18" s="35">
        <v>381.39676207327409</v>
      </c>
      <c r="D18" s="36">
        <v>9240.0440605200001</v>
      </c>
      <c r="E18" s="37">
        <f t="shared" si="0"/>
        <v>4.1276509026928851E-2</v>
      </c>
      <c r="F18" s="36">
        <v>911</v>
      </c>
      <c r="G18" s="36">
        <v>1804.5450000000001</v>
      </c>
      <c r="H18" s="36">
        <v>1734.778</v>
      </c>
      <c r="I18" s="38">
        <v>5.8700000000000002E-2</v>
      </c>
      <c r="J18" s="38">
        <v>0.10544000000000001</v>
      </c>
      <c r="K18" s="38">
        <v>0.10748000000000001</v>
      </c>
      <c r="L18" s="39">
        <f t="shared" si="1"/>
        <v>37.602899723532182</v>
      </c>
      <c r="M18" s="39">
        <f t="shared" si="2"/>
        <v>74.48531798199933</v>
      </c>
      <c r="N18" s="39">
        <f t="shared" si="3"/>
        <v>71.605579776717576</v>
      </c>
      <c r="O18" s="39">
        <f t="shared" si="4"/>
        <v>640.59454384211551</v>
      </c>
      <c r="P18" s="39">
        <f t="shared" si="5"/>
        <v>706.42372896433346</v>
      </c>
      <c r="Q18" s="39">
        <f t="shared" si="6"/>
        <v>666.22236487455871</v>
      </c>
    </row>
    <row r="19" spans="2:17" ht="13.95" customHeight="1" x14ac:dyDescent="0.3">
      <c r="B19" s="34" t="s">
        <v>34</v>
      </c>
      <c r="C19" s="35">
        <v>380.24257091607069</v>
      </c>
      <c r="D19" s="36">
        <v>7940.74808734</v>
      </c>
      <c r="E19" s="37">
        <f t="shared" si="0"/>
        <v>4.7884980953154091E-2</v>
      </c>
      <c r="F19" s="36">
        <v>1660</v>
      </c>
      <c r="G19" s="36">
        <v>1663.5</v>
      </c>
      <c r="H19" s="36">
        <v>1533</v>
      </c>
      <c r="I19" s="38">
        <v>0.21099999999999999</v>
      </c>
      <c r="J19" s="38">
        <v>0.16819999999999999</v>
      </c>
      <c r="K19" s="38">
        <v>0.158</v>
      </c>
      <c r="L19" s="39">
        <f t="shared" si="1"/>
        <v>79.489068382235786</v>
      </c>
      <c r="M19" s="39">
        <f t="shared" si="2"/>
        <v>79.656665815571827</v>
      </c>
      <c r="N19" s="39">
        <f t="shared" si="3"/>
        <v>73.407675801185221</v>
      </c>
      <c r="O19" s="39">
        <f t="shared" si="4"/>
        <v>376.72544256983787</v>
      </c>
      <c r="P19" s="39">
        <f t="shared" si="5"/>
        <v>473.58303100815596</v>
      </c>
      <c r="Q19" s="39">
        <f t="shared" si="6"/>
        <v>464.60554304547605</v>
      </c>
    </row>
    <row r="20" spans="2:17" ht="13.95" customHeight="1" x14ac:dyDescent="0.3">
      <c r="B20" s="34" t="s">
        <v>35</v>
      </c>
      <c r="C20" s="35">
        <v>335.83782587937787</v>
      </c>
      <c r="D20" s="36">
        <v>8420.6965634499993</v>
      </c>
      <c r="E20" s="37">
        <f t="shared" si="0"/>
        <v>3.9882428175488552E-2</v>
      </c>
      <c r="F20" s="36">
        <v>-504.44400000000002</v>
      </c>
      <c r="G20" s="36">
        <v>310.10000000000002</v>
      </c>
      <c r="H20" s="36">
        <v>803.46299999999997</v>
      </c>
      <c r="I20" s="38">
        <v>-2.0959999999999999E-2</v>
      </c>
      <c r="J20" s="38">
        <v>1.9560000000000001E-2</v>
      </c>
      <c r="K20" s="38">
        <v>7.7780000000000002E-2</v>
      </c>
      <c r="L20" s="39">
        <f t="shared" si="1"/>
        <v>-20.118451598556149</v>
      </c>
      <c r="M20" s="39">
        <f t="shared" si="2"/>
        <v>12.367540977219001</v>
      </c>
      <c r="N20" s="39">
        <f t="shared" si="3"/>
        <v>32.044055389162558</v>
      </c>
      <c r="O20" s="39">
        <f t="shared" si="4"/>
        <v>959.84979000744988</v>
      </c>
      <c r="P20" s="39">
        <f t="shared" si="5"/>
        <v>632.28737102346622</v>
      </c>
      <c r="Q20" s="39">
        <f t="shared" si="6"/>
        <v>411.98322691132114</v>
      </c>
    </row>
    <row r="21" spans="2:17" ht="13.95" customHeight="1" x14ac:dyDescent="0.3">
      <c r="B21" s="34" t="s">
        <v>36</v>
      </c>
      <c r="C21" s="35">
        <v>277.31932124094618</v>
      </c>
      <c r="D21" s="36">
        <v>8789.3845187400002</v>
      </c>
      <c r="E21" s="37">
        <f t="shared" si="0"/>
        <v>3.1551620099185419E-2</v>
      </c>
      <c r="F21" s="36">
        <v>1592.9090000000001</v>
      </c>
      <c r="G21" s="36">
        <v>1416.182</v>
      </c>
      <c r="H21" s="36">
        <v>1598.6669999999999</v>
      </c>
      <c r="I21" s="38">
        <v>8.0310000000000006E-2</v>
      </c>
      <c r="J21" s="38">
        <v>5.8979999999999998E-2</v>
      </c>
      <c r="K21" s="38">
        <v>6.6540000000000002E-2</v>
      </c>
      <c r="L21" s="39">
        <f t="shared" si="1"/>
        <v>50.258859620573354</v>
      </c>
      <c r="M21" s="39">
        <f t="shared" si="2"/>
        <v>44.682836455304603</v>
      </c>
      <c r="N21" s="39">
        <f t="shared" si="3"/>
        <v>50.440533849104455</v>
      </c>
      <c r="O21" s="39">
        <f t="shared" si="4"/>
        <v>625.81072868351828</v>
      </c>
      <c r="P21" s="39">
        <f t="shared" si="5"/>
        <v>757.59302230085802</v>
      </c>
      <c r="Q21" s="39">
        <f t="shared" si="6"/>
        <v>758.04829950562748</v>
      </c>
    </row>
    <row r="22" spans="2:17" ht="13.95" customHeight="1" x14ac:dyDescent="0.3">
      <c r="B22" s="41" t="s">
        <v>37</v>
      </c>
      <c r="C22" s="42">
        <f>SUM(C7:C21)</f>
        <v>65411.174470267259</v>
      </c>
      <c r="D22" s="43"/>
      <c r="E22" s="43"/>
      <c r="F22" s="43"/>
      <c r="G22" s="43"/>
      <c r="H22" s="43"/>
      <c r="I22" s="44">
        <f>L22/O22</f>
        <v>0.23604497979968808</v>
      </c>
      <c r="J22" s="44">
        <f>M22/P22</f>
        <v>0.18933914232149093</v>
      </c>
      <c r="K22" s="44">
        <f>N22/Q22</f>
        <v>0.17110432141608195</v>
      </c>
      <c r="L22" s="42">
        <f t="shared" ref="L22:Q22" si="7">SUM(L7:L21)</f>
        <v>10671.972549948501</v>
      </c>
      <c r="M22" s="42">
        <f t="shared" si="7"/>
        <v>9633.4894190418363</v>
      </c>
      <c r="N22" s="42">
        <f t="shared" si="7"/>
        <v>9460.6727418961964</v>
      </c>
      <c r="O22" s="42">
        <f t="shared" si="7"/>
        <v>45211.605682124333</v>
      </c>
      <c r="P22" s="42">
        <f t="shared" si="7"/>
        <v>50879.545037150972</v>
      </c>
      <c r="Q22" s="42">
        <f t="shared" si="7"/>
        <v>55291.839876388978</v>
      </c>
    </row>
    <row r="23" spans="2:17" ht="13.95" customHeight="1" x14ac:dyDescent="0.3">
      <c r="B23" s="34" t="s">
        <v>38</v>
      </c>
      <c r="L23" s="39">
        <f>L22-10671.9725499485</f>
        <v>0</v>
      </c>
      <c r="M23" s="39">
        <f>M22-9633.48941904183</f>
        <v>0</v>
      </c>
      <c r="N23" s="39">
        <f>N22-9381.24639794184</f>
        <v>79.426343954355616</v>
      </c>
    </row>
    <row r="25" spans="2:17" ht="13.95" customHeight="1" x14ac:dyDescent="0.3">
      <c r="B25" s="2" t="s">
        <v>39</v>
      </c>
    </row>
    <row r="26" spans="2:17" ht="13.95" customHeight="1" x14ac:dyDescent="0.3">
      <c r="B26" s="2" t="s">
        <v>40</v>
      </c>
    </row>
    <row r="27" spans="2:17" ht="13.95" customHeight="1" x14ac:dyDescent="0.3">
      <c r="B27" s="2" t="s">
        <v>41</v>
      </c>
    </row>
    <row r="28" spans="2:17" ht="13.95" customHeight="1" x14ac:dyDescent="0.3">
      <c r="B28" s="2" t="s">
        <v>42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17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2.6640625" customWidth="1"/>
    <col min="3" max="11" width="15.6640625" customWidth="1"/>
  </cols>
  <sheetData>
    <row r="1" spans="2:11" ht="30" customHeight="1" x14ac:dyDescent="0.3">
      <c r="B1" s="1" t="s">
        <v>43</v>
      </c>
    </row>
    <row r="2" spans="2:11" ht="13.95" customHeight="1" x14ac:dyDescent="0.3">
      <c r="B2" s="2" t="s">
        <v>44</v>
      </c>
    </row>
    <row r="3" spans="2:11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1" ht="30" customHeight="1" x14ac:dyDescent="0.3">
      <c r="B5" s="6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</row>
    <row r="6" spans="2:11" ht="43.95" customHeight="1" x14ac:dyDescent="0.3">
      <c r="B6" s="45" t="s">
        <v>22</v>
      </c>
      <c r="C6" s="46" t="s">
        <v>55</v>
      </c>
      <c r="D6" s="46" t="s">
        <v>56</v>
      </c>
      <c r="E6" s="46" t="s">
        <v>57</v>
      </c>
      <c r="F6" s="46" t="s">
        <v>58</v>
      </c>
      <c r="G6" s="46" t="s">
        <v>59</v>
      </c>
      <c r="H6" s="46" t="s">
        <v>60</v>
      </c>
      <c r="I6" s="46" t="s">
        <v>61</v>
      </c>
      <c r="J6" s="46" t="s">
        <v>62</v>
      </c>
      <c r="K6" s="46" t="s">
        <v>63</v>
      </c>
    </row>
    <row r="7" spans="2:11" ht="43.95" customHeight="1" x14ac:dyDescent="0.3">
      <c r="B7" s="45" t="s">
        <v>64</v>
      </c>
      <c r="C7" s="46" t="s">
        <v>55</v>
      </c>
      <c r="D7" s="46" t="s">
        <v>65</v>
      </c>
      <c r="E7" s="46" t="s">
        <v>66</v>
      </c>
      <c r="F7" s="46" t="s">
        <v>67</v>
      </c>
      <c r="G7" s="46" t="s">
        <v>68</v>
      </c>
      <c r="H7" s="46" t="s">
        <v>69</v>
      </c>
      <c r="I7" s="46" t="s">
        <v>70</v>
      </c>
      <c r="J7" s="46" t="s">
        <v>71</v>
      </c>
      <c r="K7" s="46" t="s">
        <v>72</v>
      </c>
    </row>
    <row r="8" spans="2:11" ht="43.95" customHeight="1" x14ac:dyDescent="0.3">
      <c r="B8" s="45" t="s">
        <v>28</v>
      </c>
      <c r="C8" s="46" t="s">
        <v>73</v>
      </c>
      <c r="D8" s="46" t="s">
        <v>74</v>
      </c>
      <c r="E8" s="46" t="s">
        <v>57</v>
      </c>
      <c r="F8" s="46" t="s">
        <v>58</v>
      </c>
      <c r="G8" s="46" t="s">
        <v>75</v>
      </c>
      <c r="H8" s="46" t="s">
        <v>76</v>
      </c>
      <c r="I8" s="46" t="s">
        <v>61</v>
      </c>
      <c r="J8" s="46" t="s">
        <v>77</v>
      </c>
      <c r="K8" s="46" t="s">
        <v>78</v>
      </c>
    </row>
    <row r="9" spans="2:11" ht="43.95" customHeight="1" x14ac:dyDescent="0.3">
      <c r="B9" s="45" t="s">
        <v>79</v>
      </c>
      <c r="C9" s="46" t="s">
        <v>55</v>
      </c>
      <c r="D9" s="46" t="s">
        <v>80</v>
      </c>
      <c r="E9" s="46" t="s">
        <v>81</v>
      </c>
      <c r="F9" s="46" t="s">
        <v>82</v>
      </c>
      <c r="G9" s="46" t="s">
        <v>83</v>
      </c>
      <c r="H9" s="46" t="s">
        <v>84</v>
      </c>
      <c r="I9" s="46" t="s">
        <v>85</v>
      </c>
      <c r="J9" s="46" t="s">
        <v>86</v>
      </c>
      <c r="K9" s="46" t="s">
        <v>87</v>
      </c>
    </row>
    <row r="11" spans="2:11" ht="13.95" customHeight="1" x14ac:dyDescent="0.3">
      <c r="B11" s="22" t="s">
        <v>88</v>
      </c>
    </row>
    <row r="12" spans="2:11" ht="13.95" customHeight="1" x14ac:dyDescent="0.3">
      <c r="B12" s="6" t="s">
        <v>45</v>
      </c>
      <c r="C12" s="7" t="s">
        <v>89</v>
      </c>
      <c r="D12" s="7" t="s">
        <v>90</v>
      </c>
      <c r="E12" s="7" t="s">
        <v>91</v>
      </c>
      <c r="F12" s="7" t="s">
        <v>92</v>
      </c>
    </row>
    <row r="13" spans="2:11" ht="13.95" customHeight="1" x14ac:dyDescent="0.3">
      <c r="B13" s="34" t="s">
        <v>93</v>
      </c>
      <c r="C13" s="34" t="s">
        <v>94</v>
      </c>
      <c r="D13" s="47">
        <v>6.3E-2</v>
      </c>
      <c r="E13" s="47">
        <v>3.7999999999999999E-2</v>
      </c>
      <c r="F13" s="2" t="s">
        <v>95</v>
      </c>
    </row>
    <row r="14" spans="2:11" ht="13.95" customHeight="1" x14ac:dyDescent="0.3">
      <c r="B14" s="34" t="s">
        <v>96</v>
      </c>
      <c r="C14" s="34" t="s">
        <v>97</v>
      </c>
      <c r="D14" s="47">
        <v>-3.7999999999999999E-2</v>
      </c>
      <c r="E14" s="47">
        <v>-6.0999999999999999E-2</v>
      </c>
      <c r="F14" s="2" t="s">
        <v>98</v>
      </c>
    </row>
    <row r="15" spans="2:11" ht="13.95" customHeight="1" x14ac:dyDescent="0.3">
      <c r="B15" s="34" t="s">
        <v>99</v>
      </c>
      <c r="C15" s="34" t="s">
        <v>100</v>
      </c>
      <c r="D15" s="47">
        <v>4.7E-2</v>
      </c>
      <c r="E15" s="47">
        <v>7.0000000000000001E-3</v>
      </c>
      <c r="F15" s="2" t="s">
        <v>101</v>
      </c>
    </row>
    <row r="17" spans="2:2" ht="13.95" customHeight="1" x14ac:dyDescent="0.3">
      <c r="B17" s="2" t="s">
        <v>102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 Commodities</vt:lpstr>
      <vt:lpstr>Box Consensus</vt:lpstr>
      <vt:lpstr>Analyst Models</vt:lpstr>
      <vt:lpstr>g_</vt:lpstr>
      <vt:lpstr>NExp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2026-10-08T18:54:37Z</dcterms:created>
  <dcterms:modified xsi:type="dcterms:W3CDTF">2026-10-08T18:55:02Z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